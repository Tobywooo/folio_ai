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6296" windowHeight="25416" tabRatio="600" firstSheet="0" activeTab="0" autoFilterDateGrouping="1"/>
  </bookViews>
  <sheets>
    <sheet xmlns:r="http://schemas.openxmlformats.org/officeDocument/2006/relationships" name="Summary" sheetId="1" state="visible" r:id="rId1"/>
    <sheet xmlns:r="http://schemas.openxmlformats.org/officeDocument/2006/relationships" name="Per Question" sheetId="2" state="visible" r:id="rId2"/>
    <sheet xmlns:r="http://schemas.openxmlformats.org/officeDocument/2006/relationships" name="Questions" sheetId="3" state="visible" r:id="rId3"/>
    <sheet xmlns:r="http://schemas.openxmlformats.org/officeDocument/2006/relationships" name="Retrieved Chunks" sheetId="4" state="visible" r:id="rId4"/>
    <sheet xmlns:r="http://schemas.openxmlformats.org/officeDocument/2006/relationships" name="Answers" sheetId="5" state="visible" r:id="rId5"/>
  </sheets>
  <definedNames>
    <definedName name="_xlnm._FilterDatabase" localSheetId="1" hidden="1">'Per Question'!$A$1:$P$33</definedName>
    <definedName name="_xlnm._FilterDatabase" localSheetId="3" hidden="1">'Retrieved Chunks'!$A$1:$I$161</definedName>
  </definedNames>
  <calcPr calcId="191029" fullCalcOnLoad="1"/>
</workbook>
</file>

<file path=xl/styles.xml><?xml version="1.0" encoding="utf-8"?>
<styleSheet xmlns="http://schemas.openxmlformats.org/spreadsheetml/2006/main">
  <numFmts count="2">
    <numFmt numFmtId="164" formatCode="0.0&quot; / 5&quot;"/>
    <numFmt numFmtId="165" formatCode="0.0000"/>
  </numFmts>
  <fonts count="7">
    <font>
      <name val="Calibri"/>
      <family val="2"/>
      <color theme="1"/>
      <sz val="11"/>
      <scheme val="minor"/>
    </font>
    <font>
      <name val="Arial"/>
      <b val="1"/>
      <color rgb="FFFFFFFF"/>
      <sz val="10"/>
    </font>
    <font>
      <name val="Arial"/>
      <sz val="10"/>
    </font>
    <font>
      <name val="Arial"/>
      <b val="1"/>
      <sz val="14"/>
    </font>
    <font>
      <name val="Arial"/>
      <b val="1"/>
      <sz val="10"/>
    </font>
    <font>
      <name val="Arial"/>
      <i val="1"/>
      <color rgb="FF555555"/>
      <sz val="10"/>
    </font>
    <font>
      <name val="Arial"/>
      <color rgb="FF008000"/>
      <sz val="10"/>
    </font>
  </fonts>
  <fills count="5">
    <fill>
      <patternFill/>
    </fill>
    <fill>
      <patternFill patternType="gray125"/>
    </fill>
    <fill>
      <patternFill patternType="solid">
        <fgColor rgb="FF1F4E78"/>
      </patternFill>
    </fill>
    <fill>
      <patternFill patternType="solid">
        <fgColor rgb="FFFFFF00"/>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7">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1" fillId="2" borderId="1" applyAlignment="1" pivotButton="0" quotePrefix="0" xfId="0">
      <alignment horizontal="center" vertical="center" wrapText="1"/>
    </xf>
    <xf numFmtId="0" fontId="4" fillId="0" borderId="1" applyAlignment="1" pivotButton="0" quotePrefix="0" xfId="0">
      <alignment vertical="top"/>
    </xf>
    <xf numFmtId="9" fontId="2" fillId="0" borderId="1" applyAlignment="1" pivotButton="0" quotePrefix="0" xfId="0">
      <alignment horizontal="center" vertical="top"/>
    </xf>
    <xf numFmtId="2" fontId="2" fillId="0" borderId="1" applyAlignment="1" pivotButton="0" quotePrefix="0" xfId="0">
      <alignment horizontal="center" vertical="top"/>
    </xf>
    <xf numFmtId="164" fontId="2" fillId="0"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vertical="top" wrapText="1"/>
    </xf>
    <xf numFmtId="2"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2" fontId="2" fillId="4" borderId="1" applyAlignment="1" pivotButton="0" quotePrefix="0" xfId="0">
      <alignment horizontal="center" vertical="top"/>
    </xf>
    <xf numFmtId="2" fontId="2" fillId="4" borderId="1" applyAlignment="1" pivotButton="0" quotePrefix="0" xfId="0">
      <alignment vertical="top" wrapText="1"/>
    </xf>
    <xf numFmtId="165" fontId="2" fillId="0" borderId="1" applyAlignment="1" pivotButton="0" quotePrefix="0" xfId="0">
      <alignment horizontal="center" vertical="top"/>
    </xf>
    <xf numFmtId="0" fontId="6" fillId="0" borderId="1" applyAlignment="1" pivotButton="0" quotePrefix="0" xfId="0">
      <alignment horizontal="center" vertical="top"/>
    </xf>
    <xf numFmtId="0" fontId="2" fillId="0" borderId="0" pivotButton="0" quotePrefix="0" xfId="0"/>
    <xf numFmtId="0" fontId="0" fillId="0" borderId="0" pivotButton="0" quotePrefix="0" xfId="0"/>
    <xf numFmtId="0" fontId="2" fillId="0" borderId="0"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0" fillId="0" borderId="4" pivotButton="0" quotePrefix="0" xfId="0"/>
    <xf numFmtId="0" fontId="0" fillId="0" borderId="5" pivotButton="0" quotePrefix="0" xfId="0"/>
  </cellXfs>
  <cellStyles count="1">
    <cellStyle name="Normal" xfId="0" builtinId="0"/>
  </cellStyles>
  <dxfs count="4">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folio_ai</author>
  </authors>
  <commentList>
    <comment ref="E1" authorId="0" shapeId="0">
      <text>
        <t>Mirrors the Answer quality column on the Per Question sheet. Enter grades there.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46"/>
  <sheetViews>
    <sheetView tabSelected="1" workbookViewId="0">
      <pane ySplit="1" topLeftCell="A2" activePane="bottomLeft" state="frozen"/>
      <selection pane="bottomLeft" activeCell="F49" sqref="F49"/>
    </sheetView>
  </sheetViews>
  <sheetFormatPr baseColWidth="8" defaultRowHeight="14.4"/>
  <cols>
    <col width="26" customWidth="1" style="21" min="1" max="1"/>
    <col width="14" customWidth="1" style="21" min="2" max="12"/>
  </cols>
  <sheetData>
    <row r="1" ht="17.4" customHeight="1" s="21">
      <c r="A1" s="1" t="inlineStr">
        <is>
          <t>RAG Evaluation - Evaluation notebook</t>
        </is>
      </c>
    </row>
    <row r="3">
      <c r="A3" s="2" t="inlineStr">
        <is>
          <t>Run date</t>
        </is>
      </c>
      <c r="B3" s="20" t="inlineStr">
        <is>
          <t>2026-10-14 19:53</t>
        </is>
      </c>
    </row>
    <row r="4">
      <c r="A4" s="2" t="inlineStr">
        <is>
          <t>Notebook</t>
        </is>
      </c>
      <c r="B4" s="20" t="inlineStr">
        <is>
          <t>Evaluation (d42b50e62aa64466bef9f3e6133675c9)</t>
        </is>
      </c>
    </row>
    <row r="5">
      <c r="A5" s="2" t="inlineStr">
        <is>
          <t>Sources</t>
        </is>
      </c>
      <c r="B5" s="20" t="inlineStr">
        <is>
          <t>Business analytics - Wikipedia (URL); Business Analytics Overview.pptx; Business_Analytics_Textbook_Cengage_pg_1_300.pdf; Business_Analytics_Study_Guide_UNCC.pdf</t>
        </is>
      </c>
    </row>
    <row r="6">
      <c r="A6" s="2" t="inlineStr">
        <is>
          <t>Methods compared</t>
        </is>
      </c>
      <c r="B6" s="20" t="inlineStr">
        <is>
          <t>keyword, vector, hybrid, hybrid_semantic</t>
        </is>
      </c>
    </row>
    <row r="7">
      <c r="A7" s="2" t="inlineStr">
        <is>
          <t>Top-k</t>
        </is>
      </c>
      <c r="B7" s="20" t="n">
        <v>5</v>
      </c>
    </row>
    <row r="8">
      <c r="A8" s="2" t="inlineStr">
        <is>
          <t>Chunking</t>
        </is>
      </c>
      <c r="B8" s="20" t="inlineStr">
        <is>
          <t>Recursive character, size 1200, overlap 200</t>
        </is>
      </c>
    </row>
    <row r="9">
      <c r="A9" s="2" t="inlineStr">
        <is>
          <t>Embedding model</t>
        </is>
      </c>
      <c r="B9" s="20" t="inlineStr">
        <is>
          <t>qwen3-embedding (2560 dims)</t>
        </is>
      </c>
    </row>
    <row r="10">
      <c r="A10" s="2" t="inlineStr">
        <is>
          <t>LLM</t>
        </is>
      </c>
      <c r="B10" s="20" t="inlineStr">
        <is>
          <t>qwen3.8-27b</t>
        </is>
      </c>
    </row>
    <row r="11">
      <c r="A11" s="2" t="inlineStr">
        <is>
          <t>Data source</t>
        </is>
      </c>
      <c r="B11" s="20" t="inlineStr">
        <is>
          <t>eval/results/eval-20261014-195319.json (generated by eval/run_eval.py)</t>
        </is>
      </c>
    </row>
    <row r="13">
      <c r="A13" s="2" t="inlineStr">
        <is>
          <t>How to use this workbook</t>
        </is>
      </c>
    </row>
    <row r="14" ht="27" customHeight="1" s="21">
      <c r="A14" s="22" t="inlineStr">
        <is>
          <t>Yellow cells are yours to fill in: 'Answer quality', 'Citations correct?' and 'Notes' on the Per Question sheet, and Conclusions below.</t>
        </is>
      </c>
    </row>
    <row r="15" ht="27" customHeight="1" s="21">
      <c r="A15" s="22" t="inlineStr">
        <is>
          <t>Answer quality: Good = correct, complete, right citations · Partial = mostly right or some citation problems · Poor = wrong, invented, or wrongly says the sources don't cover it.</t>
        </is>
      </c>
    </row>
    <row r="16" ht="27" customHeight="1" s="21">
      <c r="A16" s="22" t="inlineStr">
        <is>
          <t>Read each answer on the Answers sheet (its grade column mirrors what you enter on Per Question). Retrieved chunks are on the Retrieved Chunks sheet.</t>
        </is>
      </c>
    </row>
    <row r="17" ht="27" customHeight="1" s="21">
      <c r="A17" s="22" t="inlineStr">
        <is>
          <t>Example of a filled-in row: Answer quality = Good | Citations correct? = Yes | Notes = "Lists all four Vs, cites textbook p.32".</t>
        </is>
      </c>
    </row>
    <row r="18" ht="27" customHeight="1" s="21">
      <c r="A18" s="22" t="inlineStr">
        <is>
          <t>All numbers in the tables below are formulas over the Per Question sheet and update as you grade.</t>
        </is>
      </c>
    </row>
    <row r="20">
      <c r="A20" s="2" t="inlineStr">
        <is>
          <t>Retrieval comparison</t>
        </is>
      </c>
      <c r="C20" s="4" t="inlineStr">
        <is>
          <t>Hit rate = share of scored questions with at least one relevant chunk in the top-k. MRR = mean reciprocal rank of the first relevant chunk (1.0 = always first).</t>
        </is>
      </c>
    </row>
    <row r="21" ht="30" customHeight="1" s="21">
      <c r="A21" s="5" t="inlineStr">
        <is>
          <t>Method</t>
        </is>
      </c>
      <c r="B21" s="5" t="inlineStr">
        <is>
          <t>Hit rate</t>
        </is>
      </c>
      <c r="C21" s="5" t="inlineStr">
        <is>
          <t>MRR</t>
        </is>
      </c>
      <c r="D21" s="5" t="inlineStr">
        <is>
          <t>Avg relevant chunks</t>
        </is>
      </c>
      <c r="E21" s="5" t="inlineStr">
        <is>
          <t>Avg retrieval time (s)</t>
        </is>
      </c>
      <c r="F21" s="5" t="inlineStr">
        <is>
          <t>Avg generation time (s)</t>
        </is>
      </c>
      <c r="G21" s="5" t="inlineStr">
        <is>
          <t>Avg total response time (s)</t>
        </is>
      </c>
    </row>
    <row r="22">
      <c r="A22" s="6" t="inlineStr">
        <is>
          <t>keyword</t>
        </is>
      </c>
      <c r="B22" s="7">
        <f>AVERAGEIFS('Per Question'!$I$2:$I$33,'Per Question'!$D$2:$D$33,$A22,'Per Question'!$F$2:$F$33,"Yes")</f>
        <v/>
      </c>
      <c r="C22" s="8">
        <f>AVERAGEIFS('Per Question'!$J$2:$J$33,'Per Question'!$D$2:$D$33,$A22,'Per Question'!$F$2:$F$33,"Yes")</f>
        <v/>
      </c>
      <c r="D22" s="9">
        <f>AVERAGEIFS('Per Question'!$G$2:$G$33,'Per Question'!$D$2:$D$33,$A22,'Per Question'!$F$2:$F$33,"Yes")</f>
        <v/>
      </c>
      <c r="E22" s="8">
        <f>AVERAGEIF('Per Question'!$D$2:$D$33,$A22,'Per Question'!$K$2:$K$33)</f>
        <v/>
      </c>
      <c r="F22" s="8">
        <f>AVERAGEIF('Per Question'!$D$2:$D$33,$A22,'Per Question'!$L$2:$L$33)</f>
        <v/>
      </c>
      <c r="G22" s="8">
        <f>AVERAGEIF('Per Question'!$D$2:$D$33,$A22,'Per Question'!$M$2:$M$33)</f>
        <v/>
      </c>
    </row>
    <row r="23">
      <c r="A23" s="6" t="inlineStr">
        <is>
          <t>vector</t>
        </is>
      </c>
      <c r="B23" s="7">
        <f>AVERAGEIFS('Per Question'!$I$2:$I$33,'Per Question'!$D$2:$D$33,$A23,'Per Question'!$F$2:$F$33,"Yes")</f>
        <v/>
      </c>
      <c r="C23" s="8">
        <f>AVERAGEIFS('Per Question'!$J$2:$J$33,'Per Question'!$D$2:$D$33,$A23,'Per Question'!$F$2:$F$33,"Yes")</f>
        <v/>
      </c>
      <c r="D23" s="9">
        <f>AVERAGEIFS('Per Question'!$G$2:$G$33,'Per Question'!$D$2:$D$33,$A23,'Per Question'!$F$2:$F$33,"Yes")</f>
        <v/>
      </c>
      <c r="E23" s="8">
        <f>AVERAGEIF('Per Question'!$D$2:$D$33,$A23,'Per Question'!$K$2:$K$33)</f>
        <v/>
      </c>
      <c r="F23" s="8">
        <f>AVERAGEIF('Per Question'!$D$2:$D$33,$A23,'Per Question'!$L$2:$L$33)</f>
        <v/>
      </c>
      <c r="G23" s="8">
        <f>AVERAGEIF('Per Question'!$D$2:$D$33,$A23,'Per Question'!$M$2:$M$33)</f>
        <v/>
      </c>
    </row>
    <row r="24">
      <c r="A24" s="6" t="inlineStr">
        <is>
          <t>hybrid</t>
        </is>
      </c>
      <c r="B24" s="7">
        <f>AVERAGEIFS('Per Question'!$I$2:$I$33,'Per Question'!$D$2:$D$33,$A24,'Per Question'!$F$2:$F$33,"Yes")</f>
        <v/>
      </c>
      <c r="C24" s="8">
        <f>AVERAGEIFS('Per Question'!$J$2:$J$33,'Per Question'!$D$2:$D$33,$A24,'Per Question'!$F$2:$F$33,"Yes")</f>
        <v/>
      </c>
      <c r="D24" s="9">
        <f>AVERAGEIFS('Per Question'!$G$2:$G$33,'Per Question'!$D$2:$D$33,$A24,'Per Question'!$F$2:$F$33,"Yes")</f>
        <v/>
      </c>
      <c r="E24" s="8">
        <f>AVERAGEIF('Per Question'!$D$2:$D$33,$A24,'Per Question'!$K$2:$K$33)</f>
        <v/>
      </c>
      <c r="F24" s="8">
        <f>AVERAGEIF('Per Question'!$D$2:$D$33,$A24,'Per Question'!$L$2:$L$33)</f>
        <v/>
      </c>
      <c r="G24" s="8">
        <f>AVERAGEIF('Per Question'!$D$2:$D$33,$A24,'Per Question'!$M$2:$M$33)</f>
        <v/>
      </c>
    </row>
    <row r="25">
      <c r="A25" s="6" t="inlineStr">
        <is>
          <t>hybrid_semantic</t>
        </is>
      </c>
      <c r="B25" s="7">
        <f>AVERAGEIFS('Per Question'!$I$2:$I$33,'Per Question'!$D$2:$D$33,$A25,'Per Question'!$F$2:$F$33,"Yes")</f>
        <v/>
      </c>
      <c r="C25" s="8">
        <f>AVERAGEIFS('Per Question'!$J$2:$J$33,'Per Question'!$D$2:$D$33,$A25,'Per Question'!$F$2:$F$33,"Yes")</f>
        <v/>
      </c>
      <c r="D25" s="9">
        <f>AVERAGEIFS('Per Question'!$G$2:$G$33,'Per Question'!$D$2:$D$33,$A25,'Per Question'!$F$2:$F$33,"Yes")</f>
        <v/>
      </c>
      <c r="E25" s="8">
        <f>AVERAGEIF('Per Question'!$D$2:$D$33,$A25,'Per Question'!$K$2:$K$33)</f>
        <v/>
      </c>
      <c r="F25" s="8">
        <f>AVERAGEIF('Per Question'!$D$2:$D$33,$A25,'Per Question'!$L$2:$L$33)</f>
        <v/>
      </c>
      <c r="G25" s="8">
        <f>AVERAGEIF('Per Question'!$D$2:$D$33,$A25,'Per Question'!$M$2:$M$33)</f>
        <v/>
      </c>
    </row>
    <row r="28">
      <c r="A28" s="2" t="inlineStr">
        <is>
          <t>Answer quality (from your grades)</t>
        </is>
      </c>
      <c r="C28" s="4" t="inlineStr">
        <is>
          <t>Quality score = (2 x Good + 1 x Partial) / (2 x graded). Blank until you grade.</t>
        </is>
      </c>
    </row>
    <row r="29" ht="30" customHeight="1" s="21">
      <c r="A29" s="5" t="inlineStr">
        <is>
          <t>Method</t>
        </is>
      </c>
      <c r="B29" s="5" t="inlineStr">
        <is>
          <t>Graded</t>
        </is>
      </c>
      <c r="C29" s="5" t="inlineStr">
        <is>
          <t>Good</t>
        </is>
      </c>
      <c r="D29" s="5" t="inlineStr">
        <is>
          <t>Partial</t>
        </is>
      </c>
      <c r="E29" s="5" t="inlineStr">
        <is>
          <t>Poor</t>
        </is>
      </c>
      <c r="F29" s="5" t="inlineStr">
        <is>
          <t>Quality score</t>
        </is>
      </c>
      <c r="G29" s="5" t="inlineStr">
        <is>
          <t>Citations correct (Yes)</t>
        </is>
      </c>
    </row>
    <row r="30">
      <c r="A30" s="6" t="inlineStr">
        <is>
          <t>keyword</t>
        </is>
      </c>
      <c r="B30" s="10">
        <f>COUNTIFS('Per Question'!$D$2:$D$33,$A30,'Per Question'!$N$2:$N$33,"Good")+COUNTIFS('Per Question'!$D$2:$D$33,$A30,'Per Question'!$N$2:$N$33,"Partial")+COUNTIFS('Per Question'!$D$2:$D$33,$A30,'Per Question'!$N$2:$N$33,"Poor")</f>
        <v/>
      </c>
      <c r="C30" s="10">
        <f>COUNTIFS('Per Question'!$D$2:$D$33,$A30,'Per Question'!$N$2:$N$33,"Good")</f>
        <v/>
      </c>
      <c r="D30" s="10">
        <f>COUNTIFS('Per Question'!$D$2:$D$33,$A30,'Per Question'!$N$2:$N$33,"Partial")</f>
        <v/>
      </c>
      <c r="E30" s="10">
        <f>COUNTIFS('Per Question'!$D$2:$D$33,$A30,'Per Question'!$N$2:$N$33,"Poor")</f>
        <v/>
      </c>
      <c r="F30" s="7">
        <f>IF(B30=0,"",(2*C30+D30)/(2*B30))</f>
        <v/>
      </c>
      <c r="G30" s="10">
        <f>COUNTIFS('Per Question'!$D$2:$D$33,$A30,'Per Question'!$O$2:$O$33,"Yes")</f>
        <v/>
      </c>
    </row>
    <row r="31">
      <c r="A31" s="6" t="inlineStr">
        <is>
          <t>vector</t>
        </is>
      </c>
      <c r="B31" s="10">
        <f>COUNTIFS('Per Question'!$D$2:$D$33,$A31,'Per Question'!$N$2:$N$33,"Good")+COUNTIFS('Per Question'!$D$2:$D$33,$A31,'Per Question'!$N$2:$N$33,"Partial")+COUNTIFS('Per Question'!$D$2:$D$33,$A31,'Per Question'!$N$2:$N$33,"Poor")</f>
        <v/>
      </c>
      <c r="C31" s="10">
        <f>COUNTIFS('Per Question'!$D$2:$D$33,$A31,'Per Question'!$N$2:$N$33,"Good")</f>
        <v/>
      </c>
      <c r="D31" s="10">
        <f>COUNTIFS('Per Question'!$D$2:$D$33,$A31,'Per Question'!$N$2:$N$33,"Partial")</f>
        <v/>
      </c>
      <c r="E31" s="10">
        <f>COUNTIFS('Per Question'!$D$2:$D$33,$A31,'Per Question'!$N$2:$N$33,"Poor")</f>
        <v/>
      </c>
      <c r="F31" s="7">
        <f>IF(B31=0,"",(2*C31+D31)/(2*B31))</f>
        <v/>
      </c>
      <c r="G31" s="10">
        <f>COUNTIFS('Per Question'!$D$2:$D$33,$A31,'Per Question'!$O$2:$O$33,"Yes")</f>
        <v/>
      </c>
    </row>
    <row r="32">
      <c r="A32" s="6" t="inlineStr">
        <is>
          <t>hybrid</t>
        </is>
      </c>
      <c r="B32" s="10">
        <f>COUNTIFS('Per Question'!$D$2:$D$33,$A32,'Per Question'!$N$2:$N$33,"Good")+COUNTIFS('Per Question'!$D$2:$D$33,$A32,'Per Question'!$N$2:$N$33,"Partial")+COUNTIFS('Per Question'!$D$2:$D$33,$A32,'Per Question'!$N$2:$N$33,"Poor")</f>
        <v/>
      </c>
      <c r="C32" s="10">
        <f>COUNTIFS('Per Question'!$D$2:$D$33,$A32,'Per Question'!$N$2:$N$33,"Good")</f>
        <v/>
      </c>
      <c r="D32" s="10">
        <f>COUNTIFS('Per Question'!$D$2:$D$33,$A32,'Per Question'!$N$2:$N$33,"Partial")</f>
        <v/>
      </c>
      <c r="E32" s="10">
        <f>COUNTIFS('Per Question'!$D$2:$D$33,$A32,'Per Question'!$N$2:$N$33,"Poor")</f>
        <v/>
      </c>
      <c r="F32" s="7">
        <f>IF(B32=0,"",(2*C32+D32)/(2*B32))</f>
        <v/>
      </c>
      <c r="G32" s="10">
        <f>COUNTIFS('Per Question'!$D$2:$D$33,$A32,'Per Question'!$O$2:$O$33,"Yes")</f>
        <v/>
      </c>
    </row>
    <row r="33">
      <c r="A33" s="6" t="inlineStr">
        <is>
          <t>hybrid_semantic</t>
        </is>
      </c>
      <c r="B33" s="10">
        <f>COUNTIFS('Per Question'!$D$2:$D$33,$A33,'Per Question'!$N$2:$N$33,"Good")+COUNTIFS('Per Question'!$D$2:$D$33,$A33,'Per Question'!$N$2:$N$33,"Partial")+COUNTIFS('Per Question'!$D$2:$D$33,$A33,'Per Question'!$N$2:$N$33,"Poor")</f>
        <v/>
      </c>
      <c r="C33" s="10">
        <f>COUNTIFS('Per Question'!$D$2:$D$33,$A33,'Per Question'!$N$2:$N$33,"Good")</f>
        <v/>
      </c>
      <c r="D33" s="10">
        <f>COUNTIFS('Per Question'!$D$2:$D$33,$A33,'Per Question'!$N$2:$N$33,"Partial")</f>
        <v/>
      </c>
      <c r="E33" s="10">
        <f>COUNTIFS('Per Question'!$D$2:$D$33,$A33,'Per Question'!$N$2:$N$33,"Poor")</f>
        <v/>
      </c>
      <c r="F33" s="7">
        <f>IF(B33=0,"",(2*C33+D33)/(2*B33))</f>
        <v/>
      </c>
      <c r="G33" s="10">
        <f>COUNTIFS('Per Question'!$D$2:$D$33,$A33,'Per Question'!$O$2:$O$33,"Yes")</f>
        <v/>
      </c>
    </row>
    <row r="36">
      <c r="A36" s="2" t="inlineStr">
        <is>
          <t>Conclusions</t>
        </is>
      </c>
    </row>
    <row r="37" ht="92" customHeight="1" s="21">
      <c r="A37" s="22" t="inlineStr">
        <is>
          <t>Which method retrieved the most relevant chunks?</t>
        </is>
      </c>
      <c r="B37" s="23" t="inlineStr">
        <is>
          <t>Vector search found a relevant chunk for every scored question (hit rate 100%, MRR 0.86). Hybrid + semantic re-ranking retrieved the most relevant chunks per question (2.1 of 5) and was the only method that pulled both the textbook and the Wikipedia page to the top for the multi-source question (Q5: 4 of 5 relevant, first at rank 1). Keyword search missed both paraphrased questions (Q3, Q7), giving the lowest hit rate (71%) and MRR (0.57).</t>
        </is>
      </c>
      <c r="C37" s="25" t="n"/>
      <c r="D37" s="25" t="n"/>
      <c r="E37" s="25" t="n"/>
      <c r="F37" s="25" t="n"/>
      <c r="G37" s="25" t="n"/>
      <c r="H37" s="25" t="n"/>
      <c r="I37" s="25" t="n"/>
      <c r="J37" s="26" t="n"/>
    </row>
    <row r="38" ht="92" customHeight="1" s="21">
      <c r="A38" s="22" t="inlineStr">
        <is>
          <t>How did answer quality differ between methods?</t>
        </is>
      </c>
      <c r="B38" s="23" t="inlineStr">
        <is>
          <t>Hybrid + semantic answered all 8 questions well (quality score 100%, citations correct on all 8), followed by hybrid (94%), vector (88%) and keyword (81%). Keyword's weak spot was paraphrase: nothing relevant for Q3 (Poor) and only a partial answer for Q7. All four methods handled the exact term (Q4), the specific number (Q2) and the unanswerable question (Q8) correctly. On Q7 the grades disagree with the automatic score: the hybrid methods used the textbook's data-quality pages instead of the slides and still gave complete answers.</t>
        </is>
      </c>
      <c r="C38" s="25" t="n"/>
      <c r="D38" s="25" t="n"/>
      <c r="E38" s="25" t="n"/>
      <c r="F38" s="25" t="n"/>
      <c r="G38" s="25" t="n"/>
      <c r="H38" s="25" t="n"/>
      <c r="I38" s="25" t="n"/>
      <c r="J38" s="26" t="n"/>
    </row>
    <row r="39" ht="92" customHeight="1" s="21">
      <c r="A39" s="22" t="inlineStr">
        <is>
          <t>What did each method cost in response time?</t>
        </is>
      </c>
      <c r="B39" s="23" t="inlineStr">
        <is>
          <t>Retrieval is a small share of the response: keyword 0.13 s, hybrid + semantic 0.84 s, vector 1.02 s, hybrid 1.24 s (the vector-based methods include embedding the question). Total response time is dominated by LLM generation: hybrid + semantic 9.1 s on average, keyword 9.5 s, vector 9.5 s, hybrid 12.9 s (raised by one 33 s answer on Q7). Better-ranked context tended to produce faster answers (Q5: 16.8 s with semantic re-ranking vs. 23-29 s for the other methods).</t>
        </is>
      </c>
      <c r="C39" s="25" t="n"/>
      <c r="D39" s="25" t="n"/>
      <c r="E39" s="25" t="n"/>
      <c r="F39" s="25" t="n"/>
      <c r="G39" s="25" t="n"/>
      <c r="H39" s="25" t="n"/>
      <c r="I39" s="25" t="n"/>
      <c r="J39" s="26" t="n"/>
    </row>
    <row r="40" ht="92" customHeight="1" s="21">
      <c r="A40" s="22" t="inlineStr">
        <is>
          <t>Which method did you select as the default, and why?</t>
        </is>
      </c>
      <c r="B40" s="23" t="inlineStr">
        <is>
          <t>Hybrid + semantic re-ranking. It gave the best answer quality and citation accuracy, retrieved the most relevant chunks per question, handled multi-source and paraphrased questions best, and had the lowest average total response time; its ~0.7 s retrieval overhead over keyword search is negligible next to generation time. Vector search alone had a slightly higher hit rate and MRR on this small set, but re-ranking produced better final answers. Caveat: 8 questions and one run each, so time differences under ~2 s are within run-to-run noise.</t>
        </is>
      </c>
      <c r="C40" s="25" t="n"/>
      <c r="D40" s="25" t="n"/>
      <c r="E40" s="25" t="n"/>
      <c r="F40" s="25" t="n"/>
      <c r="G40" s="25" t="n"/>
      <c r="H40" s="25" t="n"/>
      <c r="I40" s="25" t="n"/>
      <c r="J40" s="26" t="n"/>
    </row>
    <row r="42">
      <c r="A42" s="2" t="inlineStr">
        <is>
          <t>Observations to consider</t>
        </is>
      </c>
    </row>
    <row r="43" ht="27" customHeight="1" s="21">
      <c r="A43" s="22" t="inlineStr">
        <is>
          <t>Q7 is scored against the slides only, but the hybrid methods retrieved the textbook's own data-quality pages (p. 30, 34, 49); judge Q7 from the answers, not the hit/miss marks.</t>
        </is>
      </c>
    </row>
    <row r="44" ht="27" customHeight="1" s="21">
      <c r="A44" s="22" t="inlineStr">
        <is>
          <t>Q1's terms also appear in the textbook's table of contents; only chunks that explain the four Vs count as relevant.</t>
        </is>
      </c>
    </row>
    <row r="45" ht="27" customHeight="1" s="21">
      <c r="A45" s="22" t="inlineStr">
        <is>
          <t>136 of the textbook's 921 chunks (15%) are repeated Cengage copyright notices, and the Wikipedia page's scraped text is fragmented into short lines; both add noise to retrieval.</t>
        </is>
      </c>
    </row>
    <row r="46" ht="27" customHeight="1" s="21">
      <c r="A46" s="22" t="inlineStr">
        <is>
          <t>Retrieval is a small part of total response time; most of it is the LLM generating the answer.</t>
        </is>
      </c>
    </row>
  </sheetData>
  <mergeCells count="22">
    <mergeCell ref="B11:J11"/>
    <mergeCell ref="A14:J14"/>
    <mergeCell ref="A17:J17"/>
    <mergeCell ref="B8:J8"/>
    <mergeCell ref="A43:J43"/>
    <mergeCell ref="B38:J38"/>
    <mergeCell ref="A44:J44"/>
    <mergeCell ref="B37:J37"/>
    <mergeCell ref="B10:J10"/>
    <mergeCell ref="B40:J40"/>
    <mergeCell ref="B9:J9"/>
    <mergeCell ref="A15:J15"/>
    <mergeCell ref="B6:J6"/>
    <mergeCell ref="A45:J45"/>
    <mergeCell ref="B5:J5"/>
    <mergeCell ref="B4:J4"/>
    <mergeCell ref="A16:J16"/>
    <mergeCell ref="B7:J7"/>
    <mergeCell ref="A46:J46"/>
    <mergeCell ref="B3:J3"/>
    <mergeCell ref="A18:J18"/>
    <mergeCell ref="B39:J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pane xSplit="2" ySplit="1" topLeftCell="C2" activePane="bottomRight" state="frozen"/>
      <selection pane="topRight" activeCell="A1" sqref="A1"/>
      <selection pane="bottomLeft" activeCell="A1" sqref="A1"/>
      <selection pane="bottomRight" activeCell="O36" sqref="O36"/>
    </sheetView>
  </sheetViews>
  <sheetFormatPr baseColWidth="8" defaultRowHeight="14.4"/>
  <cols>
    <col width="5" customWidth="1" style="21" min="1" max="1"/>
    <col width="48" customWidth="1" style="21" min="2" max="2"/>
    <col width="18" customWidth="1" style="21" min="3" max="3"/>
    <col width="16" customWidth="1" style="21" min="4" max="4"/>
    <col width="10" customWidth="1" style="21" min="5" max="5"/>
    <col width="9" customWidth="1" style="21" min="6" max="6"/>
    <col width="10" customWidth="1" style="21" min="7" max="7"/>
    <col width="11" customWidth="1" style="21" min="8" max="8"/>
    <col width="8" customWidth="1" style="21" min="9" max="9"/>
    <col width="10" customWidth="1" style="21" min="10" max="10"/>
    <col width="11" customWidth="1" style="21" min="11" max="13"/>
    <col width="13" customWidth="1" style="21" min="14" max="14"/>
    <col width="12" customWidth="1" style="21" min="15" max="15"/>
    <col width="36" customWidth="1" style="21" min="16" max="16"/>
  </cols>
  <sheetData>
    <row r="1" ht="42" customHeight="1" s="21">
      <c r="A1" s="5" t="inlineStr">
        <is>
          <t>Q#</t>
        </is>
      </c>
      <c r="B1" s="5" t="inlineStr">
        <is>
          <t>Question</t>
        </is>
      </c>
      <c r="C1" s="5" t="inlineStr">
        <is>
          <t>Type</t>
        </is>
      </c>
      <c r="D1" s="5" t="inlineStr">
        <is>
          <t>Method</t>
        </is>
      </c>
      <c r="E1" s="5" t="inlineStr">
        <is>
          <t>Retrieved chunks</t>
        </is>
      </c>
      <c r="F1" s="5" t="inlineStr">
        <is>
          <t>Scored?</t>
        </is>
      </c>
      <c r="G1" s="5" t="inlineStr">
        <is>
          <t>Relevant chunks</t>
        </is>
      </c>
      <c r="H1" s="5" t="inlineStr">
        <is>
          <t>First relevant rank</t>
        </is>
      </c>
      <c r="I1" s="5" t="inlineStr">
        <is>
          <t>Hit (1/0)</t>
        </is>
      </c>
      <c r="J1" s="5" t="inlineStr">
        <is>
          <t>Reciprocal rank</t>
        </is>
      </c>
      <c r="K1" s="5" t="inlineStr">
        <is>
          <t>Retrieval time (s)</t>
        </is>
      </c>
      <c r="L1" s="5" t="inlineStr">
        <is>
          <t>Generation time (s)</t>
        </is>
      </c>
      <c r="M1" s="5" t="inlineStr">
        <is>
          <t>Total response time (s)</t>
        </is>
      </c>
      <c r="N1" s="5" t="inlineStr">
        <is>
          <t>Answer quality</t>
        </is>
      </c>
      <c r="O1" s="5" t="inlineStr">
        <is>
          <t>Citations correct?</t>
        </is>
      </c>
      <c r="P1" s="5" t="inlineStr">
        <is>
          <t>Notes</t>
        </is>
      </c>
    </row>
    <row r="2" ht="26.4" customHeight="1" s="21">
      <c r="A2" s="10" t="n">
        <v>1</v>
      </c>
      <c r="B2" s="11" t="inlineStr">
        <is>
          <t>According to the textbook, what are the four Vs that IBM uses to describe big data?</t>
        </is>
      </c>
      <c r="C2" s="11" t="inlineStr">
        <is>
          <t>Factual</t>
        </is>
      </c>
      <c r="D2" s="10" t="inlineStr">
        <is>
          <t>keyword</t>
        </is>
      </c>
      <c r="E2" s="10" t="n">
        <v>5</v>
      </c>
      <c r="F2" s="10" t="inlineStr">
        <is>
          <t>Yes</t>
        </is>
      </c>
      <c r="G2" s="10" t="n">
        <v>3</v>
      </c>
      <c r="H2" s="10" t="n">
        <v>2</v>
      </c>
      <c r="I2" s="10">
        <f>IF(F2="No","",IF(ISNUMBER(H2),1,0))</f>
        <v/>
      </c>
      <c r="J2" s="8">
        <f>IF(F2="No","",IF(ISNUMBER(H2),1/H2,0))</f>
        <v/>
      </c>
      <c r="K2" s="12" t="n">
        <v>0.391</v>
      </c>
      <c r="L2" s="12" t="n">
        <v>5.23</v>
      </c>
      <c r="M2" s="12" t="n">
        <v>5.622</v>
      </c>
      <c r="N2" s="13" t="inlineStr">
        <is>
          <t>Good</t>
        </is>
      </c>
      <c r="O2" s="13" t="inlineStr">
        <is>
          <t>Yes</t>
        </is>
      </c>
      <c r="P2" s="13" t="n"/>
    </row>
    <row r="3" ht="26.4" customHeight="1" s="21">
      <c r="A3" s="10" t="n">
        <v>1</v>
      </c>
      <c r="B3" s="11" t="inlineStr">
        <is>
          <t>According to the textbook, what are the four Vs that IBM uses to describe big data?</t>
        </is>
      </c>
      <c r="C3" s="11" t="inlineStr">
        <is>
          <t>Factual</t>
        </is>
      </c>
      <c r="D3" s="10" t="inlineStr">
        <is>
          <t>vector</t>
        </is>
      </c>
      <c r="E3" s="10" t="n">
        <v>5</v>
      </c>
      <c r="F3" s="10" t="inlineStr">
        <is>
          <t>Yes</t>
        </is>
      </c>
      <c r="G3" s="10" t="n">
        <v>3</v>
      </c>
      <c r="H3" s="10" t="n">
        <v>1</v>
      </c>
      <c r="I3" s="10">
        <f>IF(F3="No","",IF(ISNUMBER(H3),1,0))</f>
        <v/>
      </c>
      <c r="J3" s="8">
        <f>IF(F3="No","",IF(ISNUMBER(H3),1/H3,0))</f>
        <v/>
      </c>
      <c r="K3" s="12" t="n">
        <v>0.974</v>
      </c>
      <c r="L3" s="12" t="n">
        <v>3.409</v>
      </c>
      <c r="M3" s="12" t="n">
        <v>4.383</v>
      </c>
      <c r="N3" s="13" t="inlineStr">
        <is>
          <t>Good</t>
        </is>
      </c>
      <c r="O3" s="13" t="inlineStr">
        <is>
          <t>Yes</t>
        </is>
      </c>
      <c r="P3" s="13" t="n"/>
    </row>
    <row r="4" ht="26.4" customHeight="1" s="21">
      <c r="A4" s="10" t="n">
        <v>1</v>
      </c>
      <c r="B4" s="11" t="inlineStr">
        <is>
          <t>According to the textbook, what are the four Vs that IBM uses to describe big data?</t>
        </is>
      </c>
      <c r="C4" s="11" t="inlineStr">
        <is>
          <t>Factual</t>
        </is>
      </c>
      <c r="D4" s="10" t="inlineStr">
        <is>
          <t>hybrid</t>
        </is>
      </c>
      <c r="E4" s="10" t="n">
        <v>5</v>
      </c>
      <c r="F4" s="10" t="inlineStr">
        <is>
          <t>Yes</t>
        </is>
      </c>
      <c r="G4" s="10" t="n">
        <v>3</v>
      </c>
      <c r="H4" s="10" t="n">
        <v>1</v>
      </c>
      <c r="I4" s="10">
        <f>IF(F4="No","",IF(ISNUMBER(H4),1,0))</f>
        <v/>
      </c>
      <c r="J4" s="8">
        <f>IF(F4="No","",IF(ISNUMBER(H4),1/H4,0))</f>
        <v/>
      </c>
      <c r="K4" s="12" t="n">
        <v>0.979</v>
      </c>
      <c r="L4" s="12" t="n">
        <v>3.334</v>
      </c>
      <c r="M4" s="12" t="n">
        <v>4.314</v>
      </c>
      <c r="N4" s="13" t="inlineStr">
        <is>
          <t>Good</t>
        </is>
      </c>
      <c r="O4" s="13" t="inlineStr">
        <is>
          <t>Yes</t>
        </is>
      </c>
      <c r="P4" s="13" t="n"/>
    </row>
    <row r="5" ht="26.4" customHeight="1" s="21">
      <c r="A5" s="10" t="n">
        <v>1</v>
      </c>
      <c r="B5" s="11" t="inlineStr">
        <is>
          <t>According to the textbook, what are the four Vs that IBM uses to describe big data?</t>
        </is>
      </c>
      <c r="C5" s="11" t="inlineStr">
        <is>
          <t>Factual</t>
        </is>
      </c>
      <c r="D5" s="10" t="inlineStr">
        <is>
          <t>hybrid_semantic</t>
        </is>
      </c>
      <c r="E5" s="10" t="n">
        <v>5</v>
      </c>
      <c r="F5" s="10" t="inlineStr">
        <is>
          <t>Yes</t>
        </is>
      </c>
      <c r="G5" s="10" t="n">
        <v>3</v>
      </c>
      <c r="H5" s="10" t="n">
        <v>1</v>
      </c>
      <c r="I5" s="10">
        <f>IF(F5="No","",IF(ISNUMBER(H5),1,0))</f>
        <v/>
      </c>
      <c r="J5" s="8">
        <f>IF(F5="No","",IF(ISNUMBER(H5),1/H5,0))</f>
        <v/>
      </c>
      <c r="K5" s="12" t="n">
        <v>0.87</v>
      </c>
      <c r="L5" s="12" t="n">
        <v>3.098</v>
      </c>
      <c r="M5" s="12" t="n">
        <v>3.968</v>
      </c>
      <c r="N5" s="13" t="inlineStr">
        <is>
          <t>Good</t>
        </is>
      </c>
      <c r="O5" s="13" t="inlineStr">
        <is>
          <t>Yes</t>
        </is>
      </c>
      <c r="P5" s="13" t="n"/>
    </row>
    <row r="6" ht="39.6" customHeight="1" s="21">
      <c r="A6" s="14" t="n">
        <v>2</v>
      </c>
      <c r="B6" s="15" t="inlineStr">
        <is>
          <t>How many pieces of direct mail does Kroger send to its customers each quarter, and how are the coupons chosen?</t>
        </is>
      </c>
      <c r="C6" s="15" t="inlineStr">
        <is>
          <t>Factual (number)</t>
        </is>
      </c>
      <c r="D6" s="14" t="inlineStr">
        <is>
          <t>keyword</t>
        </is>
      </c>
      <c r="E6" s="14" t="n">
        <v>5</v>
      </c>
      <c r="F6" s="14" t="inlineStr">
        <is>
          <t>Yes</t>
        </is>
      </c>
      <c r="G6" s="14" t="n">
        <v>1</v>
      </c>
      <c r="H6" s="14" t="n">
        <v>1</v>
      </c>
      <c r="I6" s="14">
        <f>IF(F6="No","",IF(ISNUMBER(H6),1,0))</f>
        <v/>
      </c>
      <c r="J6" s="16">
        <f>IF(F6="No","",IF(ISNUMBER(H6),1/H6,0))</f>
        <v/>
      </c>
      <c r="K6" s="17" t="n">
        <v>0.099</v>
      </c>
      <c r="L6" s="17" t="n">
        <v>6.117</v>
      </c>
      <c r="M6" s="17" t="n">
        <v>6.216</v>
      </c>
      <c r="N6" s="13" t="inlineStr">
        <is>
          <t>Good</t>
        </is>
      </c>
      <c r="O6" s="13" t="inlineStr">
        <is>
          <t>Yes</t>
        </is>
      </c>
      <c r="P6" s="13" t="n"/>
    </row>
    <row r="7" ht="39.6" customHeight="1" s="21">
      <c r="A7" s="14" t="n">
        <v>2</v>
      </c>
      <c r="B7" s="15" t="inlineStr">
        <is>
          <t>How many pieces of direct mail does Kroger send to its customers each quarter, and how are the coupons chosen?</t>
        </is>
      </c>
      <c r="C7" s="15" t="inlineStr">
        <is>
          <t>Factual (number)</t>
        </is>
      </c>
      <c r="D7" s="14" t="inlineStr">
        <is>
          <t>vector</t>
        </is>
      </c>
      <c r="E7" s="14" t="n">
        <v>5</v>
      </c>
      <c r="F7" s="14" t="inlineStr">
        <is>
          <t>Yes</t>
        </is>
      </c>
      <c r="G7" s="14" t="n">
        <v>1</v>
      </c>
      <c r="H7" s="14" t="n">
        <v>2</v>
      </c>
      <c r="I7" s="14">
        <f>IF(F7="No","",IF(ISNUMBER(H7),1,0))</f>
        <v/>
      </c>
      <c r="J7" s="16">
        <f>IF(F7="No","",IF(ISNUMBER(H7),1/H7,0))</f>
        <v/>
      </c>
      <c r="K7" s="17" t="n">
        <v>0.981</v>
      </c>
      <c r="L7" s="17" t="n">
        <v>4.403</v>
      </c>
      <c r="M7" s="17" t="n">
        <v>5.384</v>
      </c>
      <c r="N7" s="13" t="inlineStr">
        <is>
          <t>Good</t>
        </is>
      </c>
      <c r="O7" s="13" t="inlineStr">
        <is>
          <t>Yes</t>
        </is>
      </c>
      <c r="P7" s="13" t="n"/>
    </row>
    <row r="8" ht="39.6" customHeight="1" s="21">
      <c r="A8" s="14" t="n">
        <v>2</v>
      </c>
      <c r="B8" s="15" t="inlineStr">
        <is>
          <t>How many pieces of direct mail does Kroger send to its customers each quarter, and how are the coupons chosen?</t>
        </is>
      </c>
      <c r="C8" s="15" t="inlineStr">
        <is>
          <t>Factual (number)</t>
        </is>
      </c>
      <c r="D8" s="14" t="inlineStr">
        <is>
          <t>hybrid</t>
        </is>
      </c>
      <c r="E8" s="14" t="n">
        <v>5</v>
      </c>
      <c r="F8" s="14" t="inlineStr">
        <is>
          <t>Yes</t>
        </is>
      </c>
      <c r="G8" s="14" t="n">
        <v>1</v>
      </c>
      <c r="H8" s="14" t="n">
        <v>1</v>
      </c>
      <c r="I8" s="14">
        <f>IF(F8="No","",IF(ISNUMBER(H8),1,0))</f>
        <v/>
      </c>
      <c r="J8" s="16">
        <f>IF(F8="No","",IF(ISNUMBER(H8),1/H8,0))</f>
        <v/>
      </c>
      <c r="K8" s="17" t="n">
        <v>1.189</v>
      </c>
      <c r="L8" s="17" t="n">
        <v>4.644</v>
      </c>
      <c r="M8" s="17" t="n">
        <v>5.833</v>
      </c>
      <c r="N8" s="13" t="inlineStr">
        <is>
          <t>Good</t>
        </is>
      </c>
      <c r="O8" s="13" t="inlineStr">
        <is>
          <t>Yes</t>
        </is>
      </c>
      <c r="P8" s="13" t="n"/>
    </row>
    <row r="9" ht="39.6" customHeight="1" s="21">
      <c r="A9" s="14" t="n">
        <v>2</v>
      </c>
      <c r="B9" s="15" t="inlineStr">
        <is>
          <t>How many pieces of direct mail does Kroger send to its customers each quarter, and how are the coupons chosen?</t>
        </is>
      </c>
      <c r="C9" s="15" t="inlineStr">
        <is>
          <t>Factual (number)</t>
        </is>
      </c>
      <c r="D9" s="14" t="inlineStr">
        <is>
          <t>hybrid_semantic</t>
        </is>
      </c>
      <c r="E9" s="14" t="n">
        <v>5</v>
      </c>
      <c r="F9" s="14" t="inlineStr">
        <is>
          <t>Yes</t>
        </is>
      </c>
      <c r="G9" s="14" t="n">
        <v>1</v>
      </c>
      <c r="H9" s="14" t="n">
        <v>1</v>
      </c>
      <c r="I9" s="14">
        <f>IF(F9="No","",IF(ISNUMBER(H9),1,0))</f>
        <v/>
      </c>
      <c r="J9" s="16">
        <f>IF(F9="No","",IF(ISNUMBER(H9),1/H9,0))</f>
        <v/>
      </c>
      <c r="K9" s="17" t="n">
        <v>0.698</v>
      </c>
      <c r="L9" s="17" t="n">
        <v>4.336</v>
      </c>
      <c r="M9" s="17" t="n">
        <v>5.034</v>
      </c>
      <c r="N9" s="13" t="inlineStr">
        <is>
          <t>Good</t>
        </is>
      </c>
      <c r="O9" s="13" t="inlineStr">
        <is>
          <t>Yes</t>
        </is>
      </c>
      <c r="P9" s="13" t="n"/>
    </row>
    <row r="10" ht="26.4" customHeight="1" s="21">
      <c r="A10" s="10" t="n">
        <v>3</v>
      </c>
      <c r="B10" s="11" t="inlineStr">
        <is>
          <t>What share of data science initiatives end up not succeeding, and what typically goes wrong?</t>
        </is>
      </c>
      <c r="C10" s="11" t="inlineStr">
        <is>
          <t>Paraphrase</t>
        </is>
      </c>
      <c r="D10" s="10" t="inlineStr">
        <is>
          <t>keyword</t>
        </is>
      </c>
      <c r="E10" s="10" t="n">
        <v>5</v>
      </c>
      <c r="F10" s="10" t="inlineStr">
        <is>
          <t>Yes</t>
        </is>
      </c>
      <c r="G10" s="10" t="n">
        <v>0</v>
      </c>
      <c r="H10" s="10" t="inlineStr">
        <is>
          <t>none</t>
        </is>
      </c>
      <c r="I10" s="10">
        <f>IF(F10="No","",IF(ISNUMBER(H10),1,0))</f>
        <v/>
      </c>
      <c r="J10" s="8">
        <f>IF(F10="No","",IF(ISNUMBER(H10),1/H10,0))</f>
        <v/>
      </c>
      <c r="K10" s="12" t="n">
        <v>0.098</v>
      </c>
      <c r="L10" s="12" t="n">
        <v>10.345</v>
      </c>
      <c r="M10" s="12" t="n">
        <v>10.443</v>
      </c>
      <c r="N10" s="13" t="inlineStr">
        <is>
          <t>Poor</t>
        </is>
      </c>
      <c r="O10" s="13" t="inlineStr">
        <is>
          <t>Partly</t>
        </is>
      </c>
      <c r="P10" s="13" t="n"/>
    </row>
    <row r="11" ht="26.4" customHeight="1" s="21">
      <c r="A11" s="10" t="n">
        <v>3</v>
      </c>
      <c r="B11" s="11" t="inlineStr">
        <is>
          <t>What share of data science initiatives end up not succeeding, and what typically goes wrong?</t>
        </is>
      </c>
      <c r="C11" s="11" t="inlineStr">
        <is>
          <t>Paraphrase</t>
        </is>
      </c>
      <c r="D11" s="10" t="inlineStr">
        <is>
          <t>vector</t>
        </is>
      </c>
      <c r="E11" s="10" t="n">
        <v>5</v>
      </c>
      <c r="F11" s="10" t="inlineStr">
        <is>
          <t>Yes</t>
        </is>
      </c>
      <c r="G11" s="10" t="n">
        <v>1</v>
      </c>
      <c r="H11" s="10" t="n">
        <v>1</v>
      </c>
      <c r="I11" s="10">
        <f>IF(F11="No","",IF(ISNUMBER(H11),1,0))</f>
        <v/>
      </c>
      <c r="J11" s="8">
        <f>IF(F11="No","",IF(ISNUMBER(H11),1/H11,0))</f>
        <v/>
      </c>
      <c r="K11" s="12" t="n">
        <v>1.501</v>
      </c>
      <c r="L11" s="12" t="n">
        <v>5.767</v>
      </c>
      <c r="M11" s="12" t="n">
        <v>7.268</v>
      </c>
      <c r="N11" s="13" t="inlineStr">
        <is>
          <t>Partial</t>
        </is>
      </c>
      <c r="O11" s="13" t="inlineStr">
        <is>
          <t>Partly</t>
        </is>
      </c>
      <c r="P11" s="13" t="n"/>
    </row>
    <row r="12" ht="26.4" customHeight="1" s="21">
      <c r="A12" s="10" t="n">
        <v>3</v>
      </c>
      <c r="B12" s="11" t="inlineStr">
        <is>
          <t>What share of data science initiatives end up not succeeding, and what typically goes wrong?</t>
        </is>
      </c>
      <c r="C12" s="11" t="inlineStr">
        <is>
          <t>Paraphrase</t>
        </is>
      </c>
      <c r="D12" s="10" t="inlineStr">
        <is>
          <t>hybrid</t>
        </is>
      </c>
      <c r="E12" s="10" t="n">
        <v>5</v>
      </c>
      <c r="F12" s="10" t="inlineStr">
        <is>
          <t>Yes</t>
        </is>
      </c>
      <c r="G12" s="10" t="n">
        <v>1</v>
      </c>
      <c r="H12" s="10" t="n">
        <v>4</v>
      </c>
      <c r="I12" s="10">
        <f>IF(F12="No","",IF(ISNUMBER(H12),1,0))</f>
        <v/>
      </c>
      <c r="J12" s="8">
        <f>IF(F12="No","",IF(ISNUMBER(H12),1/H12,0))</f>
        <v/>
      </c>
      <c r="K12" s="12" t="n">
        <v>0.785</v>
      </c>
      <c r="L12" s="12" t="n">
        <v>6.746</v>
      </c>
      <c r="M12" s="12" t="n">
        <v>7.53</v>
      </c>
      <c r="N12" s="13" t="inlineStr">
        <is>
          <t>Partial</t>
        </is>
      </c>
      <c r="O12" s="13" t="inlineStr">
        <is>
          <t>Partly</t>
        </is>
      </c>
      <c r="P12" s="13" t="n"/>
    </row>
    <row r="13" ht="26.4" customHeight="1" s="21">
      <c r="A13" s="10" t="n">
        <v>3</v>
      </c>
      <c r="B13" s="11" t="inlineStr">
        <is>
          <t>What share of data science initiatives end up not succeeding, and what typically goes wrong?</t>
        </is>
      </c>
      <c r="C13" s="11" t="inlineStr">
        <is>
          <t>Paraphrase</t>
        </is>
      </c>
      <c r="D13" s="10" t="inlineStr">
        <is>
          <t>hybrid_semantic</t>
        </is>
      </c>
      <c r="E13" s="10" t="n">
        <v>5</v>
      </c>
      <c r="F13" s="10" t="inlineStr">
        <is>
          <t>Yes</t>
        </is>
      </c>
      <c r="G13" s="10" t="n">
        <v>1</v>
      </c>
      <c r="H13" s="10" t="n">
        <v>3</v>
      </c>
      <c r="I13" s="10">
        <f>IF(F13="No","",IF(ISNUMBER(H13),1,0))</f>
        <v/>
      </c>
      <c r="J13" s="8">
        <f>IF(F13="No","",IF(ISNUMBER(H13),1/H13,0))</f>
        <v/>
      </c>
      <c r="K13" s="12" t="n">
        <v>0.851</v>
      </c>
      <c r="L13" s="12" t="n">
        <v>5.181</v>
      </c>
      <c r="M13" s="12" t="n">
        <v>6.031</v>
      </c>
      <c r="N13" s="13" t="inlineStr">
        <is>
          <t>Good</t>
        </is>
      </c>
      <c r="O13" s="13" t="inlineStr">
        <is>
          <t>Yes</t>
        </is>
      </c>
      <c r="P13" s="13" t="n"/>
    </row>
    <row r="14">
      <c r="A14" s="14" t="n">
        <v>4</v>
      </c>
      <c r="B14" s="15" t="inlineStr">
        <is>
          <t>What is the data-ink ratio?</t>
        </is>
      </c>
      <c r="C14" s="15" t="inlineStr">
        <is>
          <t>Exact term</t>
        </is>
      </c>
      <c r="D14" s="14" t="inlineStr">
        <is>
          <t>keyword</t>
        </is>
      </c>
      <c r="E14" s="14" t="n">
        <v>5</v>
      </c>
      <c r="F14" s="14" t="inlineStr">
        <is>
          <t>Yes</t>
        </is>
      </c>
      <c r="G14" s="14" t="n">
        <v>5</v>
      </c>
      <c r="H14" s="14" t="n">
        <v>1</v>
      </c>
      <c r="I14" s="14">
        <f>IF(F14="No","",IF(ISNUMBER(H14),1,0))</f>
        <v/>
      </c>
      <c r="J14" s="16">
        <f>IF(F14="No","",IF(ISNUMBER(H14),1/H14,0))</f>
        <v/>
      </c>
      <c r="K14" s="17" t="n">
        <v>0.09</v>
      </c>
      <c r="L14" s="17" t="n">
        <v>5.994</v>
      </c>
      <c r="M14" s="17" t="n">
        <v>6.084</v>
      </c>
      <c r="N14" s="13" t="inlineStr">
        <is>
          <t>Good</t>
        </is>
      </c>
      <c r="O14" s="13" t="inlineStr">
        <is>
          <t>Yes</t>
        </is>
      </c>
      <c r="P14" s="13" t="n"/>
    </row>
    <row r="15">
      <c r="A15" s="14" t="n">
        <v>4</v>
      </c>
      <c r="B15" s="15" t="inlineStr">
        <is>
          <t>What is the data-ink ratio?</t>
        </is>
      </c>
      <c r="C15" s="15" t="inlineStr">
        <is>
          <t>Exact term</t>
        </is>
      </c>
      <c r="D15" s="14" t="inlineStr">
        <is>
          <t>vector</t>
        </is>
      </c>
      <c r="E15" s="14" t="n">
        <v>5</v>
      </c>
      <c r="F15" s="14" t="inlineStr">
        <is>
          <t>Yes</t>
        </is>
      </c>
      <c r="G15" s="14" t="n">
        <v>5</v>
      </c>
      <c r="H15" s="14" t="n">
        <v>1</v>
      </c>
      <c r="I15" s="14">
        <f>IF(F15="No","",IF(ISNUMBER(H15),1,0))</f>
        <v/>
      </c>
      <c r="J15" s="16">
        <f>IF(F15="No","",IF(ISNUMBER(H15),1/H15,0))</f>
        <v/>
      </c>
      <c r="K15" s="17" t="n">
        <v>0.948</v>
      </c>
      <c r="L15" s="17" t="n">
        <v>8.943</v>
      </c>
      <c r="M15" s="17" t="n">
        <v>9.891999999999999</v>
      </c>
      <c r="N15" s="13" t="inlineStr">
        <is>
          <t>Good</t>
        </is>
      </c>
      <c r="O15" s="13" t="inlineStr">
        <is>
          <t>Yes</t>
        </is>
      </c>
      <c r="P15" s="13" t="n"/>
    </row>
    <row r="16">
      <c r="A16" s="14" t="n">
        <v>4</v>
      </c>
      <c r="B16" s="15" t="inlineStr">
        <is>
          <t>What is the data-ink ratio?</t>
        </is>
      </c>
      <c r="C16" s="15" t="inlineStr">
        <is>
          <t>Exact term</t>
        </is>
      </c>
      <c r="D16" s="14" t="inlineStr">
        <is>
          <t>hybrid</t>
        </is>
      </c>
      <c r="E16" s="14" t="n">
        <v>5</v>
      </c>
      <c r="F16" s="14" t="inlineStr">
        <is>
          <t>Yes</t>
        </is>
      </c>
      <c r="G16" s="14" t="n">
        <v>5</v>
      </c>
      <c r="H16" s="14" t="n">
        <v>1</v>
      </c>
      <c r="I16" s="14">
        <f>IF(F16="No","",IF(ISNUMBER(H16),1,0))</f>
        <v/>
      </c>
      <c r="J16" s="16">
        <f>IF(F16="No","",IF(ISNUMBER(H16),1/H16,0))</f>
        <v/>
      </c>
      <c r="K16" s="17" t="n">
        <v>1.784</v>
      </c>
      <c r="L16" s="17" t="n">
        <v>9.239000000000001</v>
      </c>
      <c r="M16" s="17" t="n">
        <v>11.023</v>
      </c>
      <c r="N16" s="13" t="inlineStr">
        <is>
          <t>Good</t>
        </is>
      </c>
      <c r="O16" s="13" t="inlineStr">
        <is>
          <t>Yes</t>
        </is>
      </c>
      <c r="P16" s="13" t="n"/>
    </row>
    <row r="17">
      <c r="A17" s="14" t="n">
        <v>4</v>
      </c>
      <c r="B17" s="15" t="inlineStr">
        <is>
          <t>What is the data-ink ratio?</t>
        </is>
      </c>
      <c r="C17" s="15" t="inlineStr">
        <is>
          <t>Exact term</t>
        </is>
      </c>
      <c r="D17" s="14" t="inlineStr">
        <is>
          <t>hybrid_semantic</t>
        </is>
      </c>
      <c r="E17" s="14" t="n">
        <v>5</v>
      </c>
      <c r="F17" s="14" t="inlineStr">
        <is>
          <t>Yes</t>
        </is>
      </c>
      <c r="G17" s="14" t="n">
        <v>5</v>
      </c>
      <c r="H17" s="14" t="n">
        <v>1</v>
      </c>
      <c r="I17" s="14">
        <f>IF(F17="No","",IF(ISNUMBER(H17),1,0))</f>
        <v/>
      </c>
      <c r="J17" s="16">
        <f>IF(F17="No","",IF(ISNUMBER(H17),1/H17,0))</f>
        <v/>
      </c>
      <c r="K17" s="17" t="n">
        <v>0.64</v>
      </c>
      <c r="L17" s="17" t="n">
        <v>6.898</v>
      </c>
      <c r="M17" s="17" t="n">
        <v>7.538</v>
      </c>
      <c r="N17" s="13" t="inlineStr">
        <is>
          <t>Good</t>
        </is>
      </c>
      <c r="O17" s="13" t="inlineStr">
        <is>
          <t>Yes</t>
        </is>
      </c>
      <c r="P17" s="13" t="n"/>
    </row>
    <row r="18" ht="39.6" customHeight="1" s="21">
      <c r="A18" s="10" t="n">
        <v>5</v>
      </c>
      <c r="B18" s="11" t="inlineStr">
        <is>
          <t>How is business analytics different from business intelligence, and what do descriptive, predictive, and prescriptive analytics each do?</t>
        </is>
      </c>
      <c r="C18" s="11" t="inlineStr">
        <is>
          <t>Multi-source</t>
        </is>
      </c>
      <c r="D18" s="10" t="inlineStr">
        <is>
          <t>keyword</t>
        </is>
      </c>
      <c r="E18" s="10" t="n">
        <v>5</v>
      </c>
      <c r="F18" s="10" t="inlineStr">
        <is>
          <t>Yes</t>
        </is>
      </c>
      <c r="G18" s="10" t="n">
        <v>1</v>
      </c>
      <c r="H18" s="10" t="n">
        <v>2</v>
      </c>
      <c r="I18" s="10">
        <f>IF(F18="No","",IF(ISNUMBER(H18),1,0))</f>
        <v/>
      </c>
      <c r="J18" s="8">
        <f>IF(F18="No","",IF(ISNUMBER(H18),1/H18,0))</f>
        <v/>
      </c>
      <c r="K18" s="12" t="n">
        <v>0.103</v>
      </c>
      <c r="L18" s="12" t="n">
        <v>29.377</v>
      </c>
      <c r="M18" s="12" t="n">
        <v>29.48</v>
      </c>
      <c r="N18" s="13" t="inlineStr">
        <is>
          <t>Good</t>
        </is>
      </c>
      <c r="O18" s="13" t="inlineStr">
        <is>
          <t>Yes</t>
        </is>
      </c>
      <c r="P18" s="13" t="n"/>
    </row>
    <row r="19" ht="39.6" customHeight="1" s="21">
      <c r="A19" s="10" t="n">
        <v>5</v>
      </c>
      <c r="B19" s="11" t="inlineStr">
        <is>
          <t>How is business analytics different from business intelligence, and what do descriptive, predictive, and prescriptive analytics each do?</t>
        </is>
      </c>
      <c r="C19" s="11" t="inlineStr">
        <is>
          <t>Multi-source</t>
        </is>
      </c>
      <c r="D19" s="10" t="inlineStr">
        <is>
          <t>vector</t>
        </is>
      </c>
      <c r="E19" s="10" t="n">
        <v>5</v>
      </c>
      <c r="F19" s="10" t="inlineStr">
        <is>
          <t>Yes</t>
        </is>
      </c>
      <c r="G19" s="10" t="n">
        <v>2</v>
      </c>
      <c r="H19" s="10" t="n">
        <v>2</v>
      </c>
      <c r="I19" s="10">
        <f>IF(F19="No","",IF(ISNUMBER(H19),1,0))</f>
        <v/>
      </c>
      <c r="J19" s="8">
        <f>IF(F19="No","",IF(ISNUMBER(H19),1/H19,0))</f>
        <v/>
      </c>
      <c r="K19" s="12" t="n">
        <v>0.528</v>
      </c>
      <c r="L19" s="12" t="n">
        <v>26.685</v>
      </c>
      <c r="M19" s="12" t="n">
        <v>27.213</v>
      </c>
      <c r="N19" s="13" t="inlineStr">
        <is>
          <t>Good</t>
        </is>
      </c>
      <c r="O19" s="13" t="inlineStr">
        <is>
          <t>Yes</t>
        </is>
      </c>
      <c r="P19" s="13" t="n"/>
    </row>
    <row r="20" ht="39.6" customHeight="1" s="21">
      <c r="A20" s="10" t="n">
        <v>5</v>
      </c>
      <c r="B20" s="11" t="inlineStr">
        <is>
          <t>How is business analytics different from business intelligence, and what do descriptive, predictive, and prescriptive analytics each do?</t>
        </is>
      </c>
      <c r="C20" s="11" t="inlineStr">
        <is>
          <t>Multi-source</t>
        </is>
      </c>
      <c r="D20" s="10" t="inlineStr">
        <is>
          <t>hybrid</t>
        </is>
      </c>
      <c r="E20" s="10" t="n">
        <v>5</v>
      </c>
      <c r="F20" s="10" t="inlineStr">
        <is>
          <t>Yes</t>
        </is>
      </c>
      <c r="G20" s="10" t="n">
        <v>2</v>
      </c>
      <c r="H20" s="10" t="n">
        <v>4</v>
      </c>
      <c r="I20" s="10">
        <f>IF(F20="No","",IF(ISNUMBER(H20),1,0))</f>
        <v/>
      </c>
      <c r="J20" s="8">
        <f>IF(F20="No","",IF(ISNUMBER(H20),1/H20,0))</f>
        <v/>
      </c>
      <c r="K20" s="12" t="n">
        <v>0.718</v>
      </c>
      <c r="L20" s="12" t="n">
        <v>22.634</v>
      </c>
      <c r="M20" s="12" t="n">
        <v>23.352</v>
      </c>
      <c r="N20" s="13" t="inlineStr">
        <is>
          <t>Good</t>
        </is>
      </c>
      <c r="O20" s="13" t="inlineStr">
        <is>
          <t>Yes</t>
        </is>
      </c>
      <c r="P20" s="13" t="n"/>
    </row>
    <row r="21" ht="39.6" customHeight="1" s="21">
      <c r="A21" s="10" t="n">
        <v>5</v>
      </c>
      <c r="B21" s="11" t="inlineStr">
        <is>
          <t>How is business analytics different from business intelligence, and what do descriptive, predictive, and prescriptive analytics each do?</t>
        </is>
      </c>
      <c r="C21" s="11" t="inlineStr">
        <is>
          <t>Multi-source</t>
        </is>
      </c>
      <c r="D21" s="10" t="inlineStr">
        <is>
          <t>hybrid_semantic</t>
        </is>
      </c>
      <c r="E21" s="10" t="n">
        <v>5</v>
      </c>
      <c r="F21" s="10" t="inlineStr">
        <is>
          <t>Yes</t>
        </is>
      </c>
      <c r="G21" s="10" t="n">
        <v>4</v>
      </c>
      <c r="H21" s="10" t="n">
        <v>1</v>
      </c>
      <c r="I21" s="10">
        <f>IF(F21="No","",IF(ISNUMBER(H21),1,0))</f>
        <v/>
      </c>
      <c r="J21" s="8">
        <f>IF(F21="No","",IF(ISNUMBER(H21),1/H21,0))</f>
        <v/>
      </c>
      <c r="K21" s="12" t="n">
        <v>0.732</v>
      </c>
      <c r="L21" s="12" t="n">
        <v>16.072</v>
      </c>
      <c r="M21" s="12" t="n">
        <v>16.803</v>
      </c>
      <c r="N21" s="13" t="inlineStr">
        <is>
          <t>Good</t>
        </is>
      </c>
      <c r="O21" s="13" t="inlineStr">
        <is>
          <t>Yes</t>
        </is>
      </c>
      <c r="P21" s="13" t="n"/>
    </row>
    <row r="22" ht="26.4" customHeight="1" s="21">
      <c r="A22" s="14" t="n">
        <v>6</v>
      </c>
      <c r="B22" s="15" t="inlineStr">
        <is>
          <t>Who were early pioneers of using analytics in business, long before computers?</t>
        </is>
      </c>
      <c r="C22" s="15" t="inlineStr">
        <is>
          <t>Paraphrase (web page)</t>
        </is>
      </c>
      <c r="D22" s="14" t="inlineStr">
        <is>
          <t>keyword</t>
        </is>
      </c>
      <c r="E22" s="14" t="n">
        <v>5</v>
      </c>
      <c r="F22" s="14" t="inlineStr">
        <is>
          <t>Yes</t>
        </is>
      </c>
      <c r="G22" s="14" t="n">
        <v>1</v>
      </c>
      <c r="H22" s="14" t="n">
        <v>1</v>
      </c>
      <c r="I22" s="14">
        <f>IF(F22="No","",IF(ISNUMBER(H22),1,0))</f>
        <v/>
      </c>
      <c r="J22" s="16">
        <f>IF(F22="No","",IF(ISNUMBER(H22),1/H22,0))</f>
        <v/>
      </c>
      <c r="K22" s="17" t="n">
        <v>0.114</v>
      </c>
      <c r="L22" s="17" t="n">
        <v>3.808</v>
      </c>
      <c r="M22" s="17" t="n">
        <v>3.922</v>
      </c>
      <c r="N22" s="13" t="inlineStr">
        <is>
          <t>Good</t>
        </is>
      </c>
      <c r="O22" s="13" t="inlineStr">
        <is>
          <t>Yes</t>
        </is>
      </c>
      <c r="P22" s="13" t="n"/>
    </row>
    <row r="23" ht="26.4" customHeight="1" s="21">
      <c r="A23" s="14" t="n">
        <v>6</v>
      </c>
      <c r="B23" s="15" t="inlineStr">
        <is>
          <t>Who were early pioneers of using analytics in business, long before computers?</t>
        </is>
      </c>
      <c r="C23" s="15" t="inlineStr">
        <is>
          <t>Paraphrase (web page)</t>
        </is>
      </c>
      <c r="D23" s="14" t="inlineStr">
        <is>
          <t>vector</t>
        </is>
      </c>
      <c r="E23" s="14" t="n">
        <v>5</v>
      </c>
      <c r="F23" s="14" t="inlineStr">
        <is>
          <t>Yes</t>
        </is>
      </c>
      <c r="G23" s="14" t="n">
        <v>1</v>
      </c>
      <c r="H23" s="14" t="n">
        <v>1</v>
      </c>
      <c r="I23" s="14">
        <f>IF(F23="No","",IF(ISNUMBER(H23),1,0))</f>
        <v/>
      </c>
      <c r="J23" s="16">
        <f>IF(F23="No","",IF(ISNUMBER(H23),1/H23,0))</f>
        <v/>
      </c>
      <c r="K23" s="17" t="n">
        <v>2.107</v>
      </c>
      <c r="L23" s="17" t="n">
        <v>6.52</v>
      </c>
      <c r="M23" s="17" t="n">
        <v>8.627000000000001</v>
      </c>
      <c r="N23" s="13" t="inlineStr">
        <is>
          <t>Good</t>
        </is>
      </c>
      <c r="O23" s="13" t="inlineStr">
        <is>
          <t>Yes</t>
        </is>
      </c>
      <c r="P23" s="13" t="n"/>
    </row>
    <row r="24" ht="26.4" customHeight="1" s="21">
      <c r="A24" s="14" t="n">
        <v>6</v>
      </c>
      <c r="B24" s="15" t="inlineStr">
        <is>
          <t>Who were early pioneers of using analytics in business, long before computers?</t>
        </is>
      </c>
      <c r="C24" s="15" t="inlineStr">
        <is>
          <t>Paraphrase (web page)</t>
        </is>
      </c>
      <c r="D24" s="14" t="inlineStr">
        <is>
          <t>hybrid</t>
        </is>
      </c>
      <c r="E24" s="14" t="n">
        <v>5</v>
      </c>
      <c r="F24" s="14" t="inlineStr">
        <is>
          <t>Yes</t>
        </is>
      </c>
      <c r="G24" s="14" t="n">
        <v>1</v>
      </c>
      <c r="H24" s="14" t="n">
        <v>1</v>
      </c>
      <c r="I24" s="14">
        <f>IF(F24="No","",IF(ISNUMBER(H24),1,0))</f>
        <v/>
      </c>
      <c r="J24" s="16">
        <f>IF(F24="No","",IF(ISNUMBER(H24),1/H24,0))</f>
        <v/>
      </c>
      <c r="K24" s="17" t="n">
        <v>2.263</v>
      </c>
      <c r="L24" s="17" t="n">
        <v>6.298</v>
      </c>
      <c r="M24" s="17" t="n">
        <v>8.561</v>
      </c>
      <c r="N24" s="13" t="inlineStr">
        <is>
          <t>Good</t>
        </is>
      </c>
      <c r="O24" s="13" t="inlineStr">
        <is>
          <t>Yes</t>
        </is>
      </c>
      <c r="P24" s="13" t="n"/>
    </row>
    <row r="25" ht="26.4" customHeight="1" s="21">
      <c r="A25" s="14" t="n">
        <v>6</v>
      </c>
      <c r="B25" s="15" t="inlineStr">
        <is>
          <t>Who were early pioneers of using analytics in business, long before computers?</t>
        </is>
      </c>
      <c r="C25" s="15" t="inlineStr">
        <is>
          <t>Paraphrase (web page)</t>
        </is>
      </c>
      <c r="D25" s="14" t="inlineStr">
        <is>
          <t>hybrid_semantic</t>
        </is>
      </c>
      <c r="E25" s="14" t="n">
        <v>5</v>
      </c>
      <c r="F25" s="14" t="inlineStr">
        <is>
          <t>Yes</t>
        </is>
      </c>
      <c r="G25" s="14" t="n">
        <v>1</v>
      </c>
      <c r="H25" s="14" t="n">
        <v>1</v>
      </c>
      <c r="I25" s="14">
        <f>IF(F25="No","",IF(ISNUMBER(H25),1,0))</f>
        <v/>
      </c>
      <c r="J25" s="16">
        <f>IF(F25="No","",IF(ISNUMBER(H25),1/H25,0))</f>
        <v/>
      </c>
      <c r="K25" s="17" t="n">
        <v>0.619</v>
      </c>
      <c r="L25" s="17" t="n">
        <v>6.79</v>
      </c>
      <c r="M25" s="17" t="n">
        <v>7.41</v>
      </c>
      <c r="N25" s="13" t="inlineStr">
        <is>
          <t>Good</t>
        </is>
      </c>
      <c r="O25" s="13" t="inlineStr">
        <is>
          <t>Yes</t>
        </is>
      </c>
      <c r="P25" s="13" t="n"/>
    </row>
    <row r="26" ht="26.4" customHeight="1" s="21">
      <c r="A26" s="10" t="n">
        <v>7</v>
      </c>
      <c r="B26" s="11" t="inlineStr">
        <is>
          <t>What qualities should data have before you trust it for decision making?</t>
        </is>
      </c>
      <c r="C26" s="11" t="inlineStr">
        <is>
          <t>Paraphrase</t>
        </is>
      </c>
      <c r="D26" s="10" t="inlineStr">
        <is>
          <t>keyword</t>
        </is>
      </c>
      <c r="E26" s="10" t="n">
        <v>5</v>
      </c>
      <c r="F26" s="10" t="inlineStr">
        <is>
          <t>Yes</t>
        </is>
      </c>
      <c r="G26" s="10" t="n">
        <v>0</v>
      </c>
      <c r="H26" s="10" t="inlineStr">
        <is>
          <t>none</t>
        </is>
      </c>
      <c r="I26" s="10">
        <f>IF(F26="No","",IF(ISNUMBER(H26),1,0))</f>
        <v/>
      </c>
      <c r="J26" s="8">
        <f>IF(F26="No","",IF(ISNUMBER(H26),1/H26,0))</f>
        <v/>
      </c>
      <c r="K26" s="12" t="n">
        <v>0.077</v>
      </c>
      <c r="L26" s="12" t="n">
        <v>8.000999999999999</v>
      </c>
      <c r="M26" s="12" t="n">
        <v>8.077</v>
      </c>
      <c r="N26" s="13" t="inlineStr">
        <is>
          <t>Partial</t>
        </is>
      </c>
      <c r="O26" s="13" t="inlineStr">
        <is>
          <t>Partly</t>
        </is>
      </c>
      <c r="P26" s="13" t="n"/>
    </row>
    <row r="27" ht="26.4" customHeight="1" s="21">
      <c r="A27" s="10" t="n">
        <v>7</v>
      </c>
      <c r="B27" s="11" t="inlineStr">
        <is>
          <t>What qualities should data have before you trust it for decision making?</t>
        </is>
      </c>
      <c r="C27" s="11" t="inlineStr">
        <is>
          <t>Paraphrase</t>
        </is>
      </c>
      <c r="D27" s="10" t="inlineStr">
        <is>
          <t>vector</t>
        </is>
      </c>
      <c r="E27" s="10" t="n">
        <v>5</v>
      </c>
      <c r="F27" s="10" t="inlineStr">
        <is>
          <t>Yes</t>
        </is>
      </c>
      <c r="G27" s="10" t="n">
        <v>1</v>
      </c>
      <c r="H27" s="10" t="n">
        <v>1</v>
      </c>
      <c r="I27" s="10">
        <f>IF(F27="No","",IF(ISNUMBER(H27),1,0))</f>
        <v/>
      </c>
      <c r="J27" s="8">
        <f>IF(F27="No","",IF(ISNUMBER(H27),1/H27,0))</f>
        <v/>
      </c>
      <c r="K27" s="12" t="n">
        <v>0.431</v>
      </c>
      <c r="L27" s="12" t="n">
        <v>5.29</v>
      </c>
      <c r="M27" s="12" t="n">
        <v>5.721</v>
      </c>
      <c r="N27" s="13" t="inlineStr">
        <is>
          <t>Partial</t>
        </is>
      </c>
      <c r="O27" s="13" t="inlineStr">
        <is>
          <t>Partly</t>
        </is>
      </c>
      <c r="P27" s="13" t="n"/>
    </row>
    <row r="28" ht="26.4" customHeight="1" s="21">
      <c r="A28" s="10" t="n">
        <v>7</v>
      </c>
      <c r="B28" s="11" t="inlineStr">
        <is>
          <t>What qualities should data have before you trust it for decision making?</t>
        </is>
      </c>
      <c r="C28" s="11" t="inlineStr">
        <is>
          <t>Paraphrase</t>
        </is>
      </c>
      <c r="D28" s="10" t="inlineStr">
        <is>
          <t>hybrid</t>
        </is>
      </c>
      <c r="E28" s="10" t="n">
        <v>5</v>
      </c>
      <c r="F28" s="10" t="inlineStr">
        <is>
          <t>Yes</t>
        </is>
      </c>
      <c r="G28" s="10" t="n">
        <v>0</v>
      </c>
      <c r="H28" s="10" t="inlineStr">
        <is>
          <t>none</t>
        </is>
      </c>
      <c r="I28" s="10">
        <f>IF(F28="No","",IF(ISNUMBER(H28),1,0))</f>
        <v/>
      </c>
      <c r="J28" s="8">
        <f>IF(F28="No","",IF(ISNUMBER(H28),1/H28,0))</f>
        <v/>
      </c>
      <c r="K28" s="12" t="n">
        <v>1.797</v>
      </c>
      <c r="L28" s="12" t="n">
        <v>31.661</v>
      </c>
      <c r="M28" s="12" t="n">
        <v>33.458</v>
      </c>
      <c r="N28" s="13" t="inlineStr">
        <is>
          <t>Good</t>
        </is>
      </c>
      <c r="O28" s="13" t="inlineStr">
        <is>
          <t>Yes</t>
        </is>
      </c>
      <c r="P28" s="13" t="n"/>
    </row>
    <row r="29" ht="26.4" customHeight="1" s="21">
      <c r="A29" s="10" t="n">
        <v>7</v>
      </c>
      <c r="B29" s="11" t="inlineStr">
        <is>
          <t>What qualities should data have before you trust it for decision making?</t>
        </is>
      </c>
      <c r="C29" s="11" t="inlineStr">
        <is>
          <t>Paraphrase</t>
        </is>
      </c>
      <c r="D29" s="10" t="inlineStr">
        <is>
          <t>hybrid_semantic</t>
        </is>
      </c>
      <c r="E29" s="10" t="n">
        <v>5</v>
      </c>
      <c r="F29" s="10" t="inlineStr">
        <is>
          <t>Yes</t>
        </is>
      </c>
      <c r="G29" s="10" t="n">
        <v>0</v>
      </c>
      <c r="H29" s="10" t="inlineStr">
        <is>
          <t>none</t>
        </is>
      </c>
      <c r="I29" s="10">
        <f>IF(F29="No","",IF(ISNUMBER(H29),1,0))</f>
        <v/>
      </c>
      <c r="J29" s="8">
        <f>IF(F29="No","",IF(ISNUMBER(H29),1/H29,0))</f>
        <v/>
      </c>
      <c r="K29" s="12" t="n">
        <v>1.71</v>
      </c>
      <c r="L29" s="12" t="n">
        <v>18.006</v>
      </c>
      <c r="M29" s="12" t="n">
        <v>19.715</v>
      </c>
      <c r="N29" s="13" t="inlineStr">
        <is>
          <t>Good</t>
        </is>
      </c>
      <c r="O29" s="13" t="inlineStr">
        <is>
          <t>Yes</t>
        </is>
      </c>
      <c r="P29" s="13" t="n"/>
    </row>
    <row r="30">
      <c r="A30" s="14" t="n">
        <v>8</v>
      </c>
      <c r="B30" s="15" t="inlineStr">
        <is>
          <t>What was Amazon's total revenue in 2023?</t>
        </is>
      </c>
      <c r="C30" s="15" t="inlineStr">
        <is>
          <t>Unanswerable</t>
        </is>
      </c>
      <c r="D30" s="14" t="inlineStr">
        <is>
          <t>keyword</t>
        </is>
      </c>
      <c r="E30" s="14" t="n">
        <v>5</v>
      </c>
      <c r="F30" s="14" t="inlineStr">
        <is>
          <t>No</t>
        </is>
      </c>
      <c r="G30" s="14" t="inlineStr">
        <is>
          <t>n/a</t>
        </is>
      </c>
      <c r="H30" s="14" t="inlineStr">
        <is>
          <t>n/a</t>
        </is>
      </c>
      <c r="I30" s="14">
        <f>IF(F30="No","",IF(ISNUMBER(H30),1,0))</f>
        <v/>
      </c>
      <c r="J30" s="16">
        <f>IF(F30="No","",IF(ISNUMBER(H30),1/H30,0))</f>
        <v/>
      </c>
      <c r="K30" s="17" t="n">
        <v>0.083</v>
      </c>
      <c r="L30" s="17" t="n">
        <v>5.854</v>
      </c>
      <c r="M30" s="17" t="n">
        <v>5.938</v>
      </c>
      <c r="N30" s="13" t="inlineStr">
        <is>
          <t>Good</t>
        </is>
      </c>
      <c r="O30" s="13" t="inlineStr">
        <is>
          <t>No</t>
        </is>
      </c>
      <c r="P30" s="13" t="inlineStr">
        <is>
          <t>Correctly says the sources don't contain Amazon's 2023 revenue; no invented figure. Regraded from Poor (declining is the right behavior for an unanswerable question).</t>
        </is>
      </c>
    </row>
    <row r="31">
      <c r="A31" s="14" t="n">
        <v>8</v>
      </c>
      <c r="B31" s="15" t="inlineStr">
        <is>
          <t>What was Amazon's total revenue in 2023?</t>
        </is>
      </c>
      <c r="C31" s="15" t="inlineStr">
        <is>
          <t>Unanswerable</t>
        </is>
      </c>
      <c r="D31" s="14" t="inlineStr">
        <is>
          <t>vector</t>
        </is>
      </c>
      <c r="E31" s="14" t="n">
        <v>5</v>
      </c>
      <c r="F31" s="14" t="inlineStr">
        <is>
          <t>No</t>
        </is>
      </c>
      <c r="G31" s="14" t="inlineStr">
        <is>
          <t>n/a</t>
        </is>
      </c>
      <c r="H31" s="14" t="inlineStr">
        <is>
          <t>n/a</t>
        </is>
      </c>
      <c r="I31" s="14">
        <f>IF(F31="No","",IF(ISNUMBER(H31),1,0))</f>
        <v/>
      </c>
      <c r="J31" s="16">
        <f>IF(F31="No","",IF(ISNUMBER(H31),1/H31,0))</f>
        <v/>
      </c>
      <c r="K31" s="17" t="n">
        <v>0.714</v>
      </c>
      <c r="L31" s="17" t="n">
        <v>7.12</v>
      </c>
      <c r="M31" s="17" t="n">
        <v>7.834</v>
      </c>
      <c r="N31" s="13" t="inlineStr">
        <is>
          <t>Good</t>
        </is>
      </c>
      <c r="O31" s="13" t="inlineStr">
        <is>
          <t>No</t>
        </is>
      </c>
      <c r="P31" s="13" t="inlineStr">
        <is>
          <t>Correctly says the sources don't contain Amazon's 2023 revenue; no invented figure. Regraded from Poor (declining is the right behavior for an unanswerable question).</t>
        </is>
      </c>
    </row>
    <row r="32">
      <c r="A32" s="14" t="n">
        <v>8</v>
      </c>
      <c r="B32" s="15" t="inlineStr">
        <is>
          <t>What was Amazon's total revenue in 2023?</t>
        </is>
      </c>
      <c r="C32" s="15" t="inlineStr">
        <is>
          <t>Unanswerable</t>
        </is>
      </c>
      <c r="D32" s="14" t="inlineStr">
        <is>
          <t>hybrid</t>
        </is>
      </c>
      <c r="E32" s="14" t="n">
        <v>5</v>
      </c>
      <c r="F32" s="14" t="inlineStr">
        <is>
          <t>No</t>
        </is>
      </c>
      <c r="G32" s="14" t="inlineStr">
        <is>
          <t>n/a</t>
        </is>
      </c>
      <c r="H32" s="14" t="inlineStr">
        <is>
          <t>n/a</t>
        </is>
      </c>
      <c r="I32" s="14">
        <f>IF(F32="No","",IF(ISNUMBER(H32),1,0))</f>
        <v/>
      </c>
      <c r="J32" s="16">
        <f>IF(F32="No","",IF(ISNUMBER(H32),1/H32,0))</f>
        <v/>
      </c>
      <c r="K32" s="17" t="n">
        <v>0.43</v>
      </c>
      <c r="L32" s="17" t="n">
        <v>8.346</v>
      </c>
      <c r="M32" s="17" t="n">
        <v>8.776</v>
      </c>
      <c r="N32" s="13" t="inlineStr">
        <is>
          <t>Good</t>
        </is>
      </c>
      <c r="O32" s="13" t="inlineStr">
        <is>
          <t>Yes</t>
        </is>
      </c>
      <c r="P32" s="13" t="inlineStr">
        <is>
          <t>Correctly says the sources don't contain Amazon's 2023 revenue; no invented figure. Regraded from Poor (declining is the right behavior for an unanswerable question).</t>
        </is>
      </c>
    </row>
    <row r="33">
      <c r="A33" s="14" t="n">
        <v>8</v>
      </c>
      <c r="B33" s="15" t="inlineStr">
        <is>
          <t>What was Amazon's total revenue in 2023?</t>
        </is>
      </c>
      <c r="C33" s="15" t="inlineStr">
        <is>
          <t>Unanswerable</t>
        </is>
      </c>
      <c r="D33" s="14" t="inlineStr">
        <is>
          <t>hybrid_semantic</t>
        </is>
      </c>
      <c r="E33" s="14" t="n">
        <v>5</v>
      </c>
      <c r="F33" s="14" t="inlineStr">
        <is>
          <t>No</t>
        </is>
      </c>
      <c r="G33" s="14" t="inlineStr">
        <is>
          <t>n/a</t>
        </is>
      </c>
      <c r="H33" s="14" t="inlineStr">
        <is>
          <t>n/a</t>
        </is>
      </c>
      <c r="I33" s="14">
        <f>IF(F33="No","",IF(ISNUMBER(H33),1,0))</f>
        <v/>
      </c>
      <c r="J33" s="16">
        <f>IF(F33="No","",IF(ISNUMBER(H33),1/H33,0))</f>
        <v/>
      </c>
      <c r="K33" s="17" t="n">
        <v>0.592</v>
      </c>
      <c r="L33" s="17" t="n">
        <v>5.378</v>
      </c>
      <c r="M33" s="17" t="n">
        <v>5.971</v>
      </c>
      <c r="N33" s="13" t="inlineStr">
        <is>
          <t>Good</t>
        </is>
      </c>
      <c r="O33" s="13" t="inlineStr">
        <is>
          <t>Yes</t>
        </is>
      </c>
      <c r="P33" s="13" t="inlineStr">
        <is>
          <t>Correctly says the sources don't contain Amazon's 2023 revenue; no invented figure. Regraded from Poor (declining is the right behavior for an unanswerable question).</t>
        </is>
      </c>
    </row>
  </sheetData>
  <autoFilter ref="A1:P33"/>
  <conditionalFormatting sqref="N2:N33">
    <cfRule type="cellIs" priority="1" operator="equal" dxfId="0">
      <formula>"Good"</formula>
    </cfRule>
    <cfRule type="cellIs" priority="2" operator="equal" dxfId="2">
      <formula>"Partial"</formula>
    </cfRule>
    <cfRule type="cellIs" priority="3" operator="equal" dxfId="1">
      <formula>"Poor"</formula>
    </cfRule>
  </conditionalFormatting>
  <dataValidations count="2">
    <dataValidation sqref="N2:N33" showDropDown="0" showInputMessage="0" showErrorMessage="0" allowBlank="1" errorTitle="Answer quality" error="Choose Good, Partial, or Poor." type="list">
      <formula1>"Good,Partial,Poor"</formula1>
    </dataValidation>
    <dataValidation sqref="O2:O33" showDropDown="0" showInputMessage="0" showErrorMessage="0" allowBlank="1" type="list">
      <formula1>"Yes,Partly,No"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5" customWidth="1" style="21" min="1" max="1"/>
    <col width="60" customWidth="1" style="21" min="2" max="2"/>
    <col width="20" customWidth="1" style="21" min="3" max="3"/>
    <col width="22" customWidth="1" style="21" min="4" max="5"/>
    <col width="60" customWidth="1" style="21" min="6" max="6"/>
  </cols>
  <sheetData>
    <row r="1" ht="26.4" customHeight="1" s="21">
      <c r="A1" s="5" t="inlineStr">
        <is>
          <t>Q#</t>
        </is>
      </c>
      <c r="B1" s="5" t="inlineStr">
        <is>
          <t>Question</t>
        </is>
      </c>
      <c r="C1" s="5" t="inlineStr">
        <is>
          <t>Type</t>
        </is>
      </c>
      <c r="D1" s="5" t="inlineStr">
        <is>
          <t>Expected source contains</t>
        </is>
      </c>
      <c r="E1" s="5" t="inlineStr">
        <is>
          <t>Expected text contains</t>
        </is>
      </c>
      <c r="F1" s="5" t="inlineStr">
        <is>
          <t>Note</t>
        </is>
      </c>
    </row>
    <row r="2" ht="26.4" customHeight="1" s="21">
      <c r="A2" s="10" t="n">
        <v>1</v>
      </c>
      <c r="B2" s="11" t="inlineStr">
        <is>
          <t>According to the textbook, what are the four Vs that IBM uses to describe big data?</t>
        </is>
      </c>
      <c r="C2" s="11" t="inlineStr">
        <is>
          <t>Factual</t>
        </is>
      </c>
      <c r="D2" s="11" t="inlineStr">
        <is>
          <t>Textbook</t>
        </is>
      </c>
      <c r="E2" s="11" t="inlineStr">
        <is>
          <t>four Vs</t>
        </is>
      </c>
      <c r="F2" s="11" t="inlineStr">
        <is>
          <t>factual lookup; the terms also appear in table-of-contents chunks, which shouldn't count</t>
        </is>
      </c>
    </row>
    <row r="3" ht="26.4" customHeight="1" s="21">
      <c r="A3" s="10" t="n">
        <v>2</v>
      </c>
      <c r="B3" s="11" t="inlineStr">
        <is>
          <t>How many pieces of direct mail does Kroger send to its customers each quarter, and how are the coupons chosen?</t>
        </is>
      </c>
      <c r="C3" s="11" t="inlineStr">
        <is>
          <t>Factual (number)</t>
        </is>
      </c>
      <c r="D3" s="11" t="inlineStr">
        <is>
          <t>Textbook</t>
        </is>
      </c>
      <c r="E3" s="11" t="inlineStr">
        <is>
          <t>11 million</t>
        </is>
      </c>
      <c r="F3" s="11" t="inlineStr">
        <is>
          <t>factual lookup of a specific number buried in a 921-chunk textbook</t>
        </is>
      </c>
    </row>
    <row r="4" ht="26.4" customHeight="1" s="21">
      <c r="A4" s="10" t="n">
        <v>3</v>
      </c>
      <c r="B4" s="11" t="inlineStr">
        <is>
          <t>What share of data science initiatives end up not succeeding, and what typically goes wrong?</t>
        </is>
      </c>
      <c r="C4" s="11" t="inlineStr">
        <is>
          <t>Paraphrase</t>
        </is>
      </c>
      <c r="D4" s="11" t="inlineStr">
        <is>
          <t>Overview</t>
        </is>
      </c>
      <c r="E4" s="11" t="inlineStr">
        <is>
          <t>failure rate</t>
        </is>
      </c>
      <c r="F4" s="11" t="inlineStr">
        <is>
          <t>paraphrase: the slide says 'failure rate for analytics project', the question uses different words</t>
        </is>
      </c>
    </row>
    <row r="5">
      <c r="A5" s="10" t="n">
        <v>4</v>
      </c>
      <c r="B5" s="11" t="inlineStr">
        <is>
          <t>What is the data-ink ratio?</t>
        </is>
      </c>
      <c r="C5" s="11" t="inlineStr">
        <is>
          <t>Exact term</t>
        </is>
      </c>
      <c r="D5" s="11" t="n"/>
      <c r="E5" s="11" t="inlineStr">
        <is>
          <t>data-ink ratio</t>
        </is>
      </c>
      <c r="F5" s="11" t="inlineStr">
        <is>
          <t>exact term: keyword search should do well</t>
        </is>
      </c>
    </row>
    <row r="6" ht="26.4" customHeight="1" s="21">
      <c r="A6" s="10" t="n">
        <v>5</v>
      </c>
      <c r="B6" s="11" t="inlineStr">
        <is>
          <t>How is business analytics different from business intelligence, and what do descriptive, predictive, and prescriptive analytics each do?</t>
        </is>
      </c>
      <c r="C6" s="11" t="inlineStr">
        <is>
          <t>Multi-source</t>
        </is>
      </c>
      <c r="D6" s="11" t="n"/>
      <c r="E6" s="11" t="inlineStr">
        <is>
          <t>prescriptive</t>
        </is>
      </c>
      <c r="F6" s="11" t="inlineStr">
        <is>
          <t>multi-source: the BI contrast is on the Wikipedia page, the three categories are in the textbook and Wikipedia; check both are cited</t>
        </is>
      </c>
    </row>
    <row r="7" ht="26.4" customHeight="1" s="21">
      <c r="A7" s="10" t="n">
        <v>6</v>
      </c>
      <c r="B7" s="11" t="inlineStr">
        <is>
          <t>Who were early pioneers of using analytics in business, long before computers?</t>
        </is>
      </c>
      <c r="C7" s="11" t="inlineStr">
        <is>
          <t>Paraphrase (web page)</t>
        </is>
      </c>
      <c r="D7" s="11" t="inlineStr">
        <is>
          <t>Wikipedia</t>
        </is>
      </c>
      <c r="E7" s="11" t="inlineStr">
        <is>
          <t>Henry Ford</t>
        </is>
      </c>
      <c r="F7" s="11" t="inlineStr">
        <is>
          <t>paraphrase over the web page, whose scraped text is fragmented across many short lines</t>
        </is>
      </c>
    </row>
    <row r="8" ht="26.4" customHeight="1" s="21">
      <c r="A8" s="10" t="n">
        <v>7</v>
      </c>
      <c r="B8" s="11" t="inlineStr">
        <is>
          <t>What qualities should data have before you trust it for decision making?</t>
        </is>
      </c>
      <c r="C8" s="11" t="inlineStr">
        <is>
          <t>Paraphrase</t>
        </is>
      </c>
      <c r="D8" s="11" t="inlineStr">
        <is>
          <t>Overview</t>
        </is>
      </c>
      <c r="E8" s="11" t="inlineStr">
        <is>
          <t>consistent</t>
        </is>
      </c>
      <c r="F8" s="11" t="inlineStr">
        <is>
          <t>paraphrase: the slide lists data quality as correct, complete, current, consistent, in context, controlled</t>
        </is>
      </c>
    </row>
    <row r="9" ht="26.4" customHeight="1" s="21">
      <c r="A9" s="10" t="n">
        <v>8</v>
      </c>
      <c r="B9" s="11" t="inlineStr">
        <is>
          <t>What was Amazon's total revenue in 2023?</t>
        </is>
      </c>
      <c r="C9" s="11" t="inlineStr">
        <is>
          <t>Unanswerable</t>
        </is>
      </c>
      <c r="D9" s="11" t="n"/>
      <c r="E9" s="11" t="n"/>
      <c r="F9" s="11" t="inlineStr">
        <is>
          <t>unanswerable: the sources predate 2023 and don't cover it; the answer should say so instead of guessing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4.4"/>
  <cols>
    <col width="5" customWidth="1" style="21" min="1" max="1"/>
    <col width="16" customWidth="1" style="21" min="2" max="2"/>
    <col width="6" customWidth="1" style="21" min="3" max="3"/>
    <col width="10" customWidth="1" style="21" min="4" max="4"/>
    <col width="34" customWidth="1" style="21" min="5" max="5"/>
    <col width="11" customWidth="1" style="21" min="6" max="6"/>
    <col width="9" customWidth="1" style="21" min="7" max="7"/>
    <col width="10" customWidth="1" style="21" min="8" max="8"/>
    <col width="80" customWidth="1" style="21" min="9" max="9"/>
  </cols>
  <sheetData>
    <row r="1" ht="26.4" customHeight="1" s="21">
      <c r="A1" s="5" t="inlineStr">
        <is>
          <t>Q#</t>
        </is>
      </c>
      <c r="B1" s="5" t="inlineStr">
        <is>
          <t>Method</t>
        </is>
      </c>
      <c r="C1" s="5" t="inlineStr">
        <is>
          <t>Rank</t>
        </is>
      </c>
      <c r="D1" s="5" t="inlineStr">
        <is>
          <t>Relevant?</t>
        </is>
      </c>
      <c r="E1" s="5" t="inlineStr">
        <is>
          <t>Source</t>
        </is>
      </c>
      <c r="F1" s="5" t="inlineStr">
        <is>
          <t>Location</t>
        </is>
      </c>
      <c r="G1" s="5" t="inlineStr">
        <is>
          <t>Score</t>
        </is>
      </c>
      <c r="H1" s="5" t="inlineStr">
        <is>
          <t>Reranker score</t>
        </is>
      </c>
      <c r="I1" s="5" t="inlineStr">
        <is>
          <t>Chunk text (first 220 characters)</t>
        </is>
      </c>
    </row>
    <row r="2" ht="132" customHeight="1" s="21">
      <c r="A2" s="10" t="n">
        <v>1</v>
      </c>
      <c r="B2" s="11" t="inlineStr">
        <is>
          <t>keyword</t>
        </is>
      </c>
      <c r="C2" s="10" t="n">
        <v>1</v>
      </c>
      <c r="D2" s="10" t="inlineStr">
        <is>
          <t>No</t>
        </is>
      </c>
      <c r="E2" s="11" t="inlineStr">
        <is>
          <t>Business_Analytics_Textbook_Cengage_pg_1_300.pdf</t>
        </is>
      </c>
      <c r="F2" s="11" t="inlineStr">
        <is>
          <t>page 278</t>
        </is>
      </c>
      <c r="G2" s="18" t="n">
        <v>20.216307</v>
      </c>
      <c r="H2" s="18" t="n"/>
      <c r="I2" s="11" t="inlineStr">
        <is>
          <t>252 chapter 5 Descriptive Data Mining set of customer profiles (clusters). Describe these clusters according to their “average” characteristics. Why might hierarchical clustering not be a good method to use for these sev...</t>
        </is>
      </c>
    </row>
    <row r="3" ht="145.2" customHeight="1" s="21">
      <c r="A3" s="10" t="n">
        <v>1</v>
      </c>
      <c r="B3" s="11" t="inlineStr">
        <is>
          <t>keyword</t>
        </is>
      </c>
      <c r="C3" s="10" t="n">
        <v>2</v>
      </c>
      <c r="D3" s="10" t="inlineStr">
        <is>
          <t>Yes</t>
        </is>
      </c>
      <c r="E3" s="11" t="inlineStr">
        <is>
          <t>Business_Analytics_Textbook_Cengage_pg_1_300.pdf</t>
        </is>
      </c>
      <c r="F3" s="11" t="inlineStr">
        <is>
          <t>page 32</t>
        </is>
      </c>
      <c r="G3" s="18" t="n">
        <v>19.292797</v>
      </c>
      <c r="H3" s="18" t="n"/>
      <c r="I3" s="11" t="inlineStr">
        <is>
          <t>from aircraft to cars to bridges allow us to collect and store vast amounts of data in real time. In the midst of all of this data collection, the term big data has been created. There is no universally accepted definiti...</t>
        </is>
      </c>
    </row>
    <row r="4" ht="145.2" customHeight="1" s="21">
      <c r="A4" s="10" t="n">
        <v>1</v>
      </c>
      <c r="B4" s="11" t="inlineStr">
        <is>
          <t>keyword</t>
        </is>
      </c>
      <c r="C4" s="10" t="n">
        <v>3</v>
      </c>
      <c r="D4" s="10" t="inlineStr">
        <is>
          <t>Yes</t>
        </is>
      </c>
      <c r="E4" s="11" t="inlineStr">
        <is>
          <t>Business_Analytics_Textbook_Cengage_pg_1_300.pdf</t>
        </is>
      </c>
      <c r="F4" s="11" t="inlineStr">
        <is>
          <t>page 33</t>
        </is>
      </c>
      <c r="G4" s="18" t="n">
        <v>16.412907</v>
      </c>
      <c r="H4" s="18" t="n"/>
      <c r="I4" s="11" t="inlineStr">
        <is>
          <t>1.4 Big Data 7 Chapter Title Descriptive Predictive Prescriptive 1 Introduction ● ● ● 2 Descriptive Statistics ● 3 Data Visualization ● 4 Probability: An Introduction to Modeling Uncertainty ● 5 Descriptive Data Mining ●...</t>
        </is>
      </c>
    </row>
    <row r="5" ht="158.4" customHeight="1" s="21">
      <c r="A5" s="10" t="n">
        <v>1</v>
      </c>
      <c r="B5" s="11" t="inlineStr">
        <is>
          <t>keyword</t>
        </is>
      </c>
      <c r="C5" s="10" t="n">
        <v>4</v>
      </c>
      <c r="D5" s="10" t="inlineStr">
        <is>
          <t>Yes</t>
        </is>
      </c>
      <c r="E5" s="11" t="inlineStr">
        <is>
          <t>Business_Analytics_Textbook_Cengage_pg_1_300.pdf</t>
        </is>
      </c>
      <c r="F5" s="11" t="inlineStr">
        <is>
          <t>page 34</t>
        </is>
      </c>
      <c r="G5" s="18" t="n">
        <v>14.855509</v>
      </c>
      <c r="H5" s="18" t="n"/>
      <c r="I5" s="11" t="inlineStr">
        <is>
          <t>or ser- vices on social media platforms such as Twitter. Audio data are collected from service calls (on a service call, you will often hear “this call may be monitored for quality control”). Video data collected by in-s...</t>
        </is>
      </c>
    </row>
    <row r="6" ht="145.2" customHeight="1" s="21">
      <c r="A6" s="10" t="n">
        <v>1</v>
      </c>
      <c r="B6" s="11" t="inlineStr">
        <is>
          <t>keyword</t>
        </is>
      </c>
      <c r="C6" s="10" t="n">
        <v>5</v>
      </c>
      <c r="D6" s="10" t="inlineStr">
        <is>
          <t>No</t>
        </is>
      </c>
      <c r="E6" s="11" t="inlineStr">
        <is>
          <t>Business_Analytics_Textbook_Cengage_pg_1_300.pdf</t>
        </is>
      </c>
      <c r="F6" s="11" t="inlineStr">
        <is>
          <t>page 23</t>
        </is>
      </c>
      <c r="G6" s="18" t="n">
        <v>13.3567705</v>
      </c>
      <c r="H6" s="18" t="n"/>
      <c r="I6" s="11" t="inlineStr">
        <is>
          <t>Preface xxi ● ● New End-of-Chapter Problems. The fourth edition of this textbook includes more than 20 new problems. We have also revised many of the existing problems to update and improve clarity. Each end-of-chapter p...</t>
        </is>
      </c>
    </row>
    <row r="7" ht="145.2" customHeight="1" s="21">
      <c r="A7" s="10" t="n">
        <v>1</v>
      </c>
      <c r="B7" s="11" t="inlineStr">
        <is>
          <t>vector</t>
        </is>
      </c>
      <c r="C7" s="10" t="n">
        <v>1</v>
      </c>
      <c r="D7" s="10" t="inlineStr">
        <is>
          <t>Yes</t>
        </is>
      </c>
      <c r="E7" s="11" t="inlineStr">
        <is>
          <t>Business_Analytics_Textbook_Cengage_pg_1_300.pdf</t>
        </is>
      </c>
      <c r="F7" s="11" t="inlineStr">
        <is>
          <t>page 32</t>
        </is>
      </c>
      <c r="G7" s="18" t="n">
        <v>0.7761598</v>
      </c>
      <c r="H7" s="18" t="n"/>
      <c r="I7" s="11" t="inlineStr">
        <is>
          <t>from aircraft to cars to bridges allow us to collect and store vast amounts of data in real time. In the midst of all of this data collection, the term big data has been created. There is no universally accepted definiti...</t>
        </is>
      </c>
    </row>
    <row r="8" ht="145.2" customHeight="1" s="21">
      <c r="A8" s="10" t="n">
        <v>1</v>
      </c>
      <c r="B8" s="11" t="inlineStr">
        <is>
          <t>vector</t>
        </is>
      </c>
      <c r="C8" s="10" t="n">
        <v>2</v>
      </c>
      <c r="D8" s="10" t="inlineStr">
        <is>
          <t>Yes</t>
        </is>
      </c>
      <c r="E8" s="11" t="inlineStr">
        <is>
          <t>Business_Analytics_Textbook_Cengage_pg_1_300.pdf</t>
        </is>
      </c>
      <c r="F8" s="11" t="inlineStr">
        <is>
          <t>page 33</t>
        </is>
      </c>
      <c r="G8" s="18" t="n">
        <v>0.733809</v>
      </c>
      <c r="H8" s="18" t="n"/>
      <c r="I8" s="11" t="inlineStr">
        <is>
          <t>1.4 Big Data 7 Chapter Title Descriptive Predictive Prescriptive 1 Introduction ● ● ● 2 Descriptive Statistics ● 3 Data Visualization ● 4 Probability: An Introduction to Modeling Uncertainty ● 5 Descriptive Data Mining ●...</t>
        </is>
      </c>
    </row>
    <row r="9" ht="145.2" customHeight="1" s="21">
      <c r="A9" s="10" t="n">
        <v>1</v>
      </c>
      <c r="B9" s="11" t="inlineStr">
        <is>
          <t>vector</t>
        </is>
      </c>
      <c r="C9" s="10" t="n">
        <v>3</v>
      </c>
      <c r="D9" s="10" t="inlineStr">
        <is>
          <t>No</t>
        </is>
      </c>
      <c r="E9" s="11" t="inlineStr">
        <is>
          <t>Business_Analytics_Textbook_Cengage_pg_1_300.pdf</t>
        </is>
      </c>
      <c r="F9" s="11" t="inlineStr">
        <is>
          <t>page 27</t>
        </is>
      </c>
      <c r="G9" s="18" t="n">
        <v>0.6889862</v>
      </c>
      <c r="H9" s="18" t="n"/>
      <c r="I9" s="11" t="inlineStr">
        <is>
          <t>Chapter Introduction Contents 1.1 DECISION MAKING 1.2 BUSINESS ANALYTICS DEFINED 1.3 A CATEGORIZATION OF ANALYTICAL METHODS AND MODELS Descriptive Analytics Predictive Analytics Prescriptive Analytics 1.4 BIG DATA Volume...</t>
        </is>
      </c>
    </row>
    <row r="10" ht="158.4" customHeight="1" s="21">
      <c r="A10" s="10" t="n">
        <v>1</v>
      </c>
      <c r="B10" s="11" t="inlineStr">
        <is>
          <t>vector</t>
        </is>
      </c>
      <c r="C10" s="10" t="n">
        <v>4</v>
      </c>
      <c r="D10" s="10" t="inlineStr">
        <is>
          <t>Yes</t>
        </is>
      </c>
      <c r="E10" s="11" t="inlineStr">
        <is>
          <t>Business_Analytics_Textbook_Cengage_pg_1_300.pdf</t>
        </is>
      </c>
      <c r="F10" s="11" t="inlineStr">
        <is>
          <t>page 34</t>
        </is>
      </c>
      <c r="G10" s="18" t="n">
        <v>0.6748731</v>
      </c>
      <c r="H10" s="18" t="n"/>
      <c r="I10" s="11" t="inlineStr">
        <is>
          <t>or ser- vices on social media platforms such as Twitter. Audio data are collected from service calls (on a service call, you will often hear “this call may be monitored for quality control”). Video data collected by in-s...</t>
        </is>
      </c>
    </row>
    <row r="11" ht="132" customHeight="1" s="21">
      <c r="A11" s="10" t="n">
        <v>1</v>
      </c>
      <c r="B11" s="11" t="inlineStr">
        <is>
          <t>vector</t>
        </is>
      </c>
      <c r="C11" s="10" t="n">
        <v>5</v>
      </c>
      <c r="D11" s="10" t="inlineStr">
        <is>
          <t>No</t>
        </is>
      </c>
      <c r="E11" s="11" t="inlineStr">
        <is>
          <t>Business_Analytics_Textbook_Cengage_pg_1_300.pdf</t>
        </is>
      </c>
      <c r="F11" s="11" t="inlineStr">
        <is>
          <t>page 7</t>
        </is>
      </c>
      <c r="G11" s="18" t="n">
        <v>0.6702072</v>
      </c>
      <c r="H11" s="18" t="n"/>
      <c r="I11" s="11" t="inlineStr">
        <is>
          <t>Contents ABOUT THE AUTHORS xvii PREFACE xix Chapter 1 introduction 1 1.1 Decision Making 3 1.2 Business Analytics Defined 4 1.3 A Categorization of Analytical Methods and Models 5 Descriptive Analytics 5 Predictive Analy...</t>
        </is>
      </c>
    </row>
    <row r="12" ht="145.2" customHeight="1" s="21">
      <c r="A12" s="10" t="n">
        <v>1</v>
      </c>
      <c r="B12" s="11" t="inlineStr">
        <is>
          <t>hybrid</t>
        </is>
      </c>
      <c r="C12" s="10" t="n">
        <v>1</v>
      </c>
      <c r="D12" s="10" t="inlineStr">
        <is>
          <t>Yes</t>
        </is>
      </c>
      <c r="E12" s="11" t="inlineStr">
        <is>
          <t>Business_Analytics_Textbook_Cengage_pg_1_300.pdf</t>
        </is>
      </c>
      <c r="F12" s="11" t="inlineStr">
        <is>
          <t>page 32</t>
        </is>
      </c>
      <c r="G12" s="18" t="n">
        <v>0.03306011110544205</v>
      </c>
      <c r="H12" s="18" t="n"/>
      <c r="I12" s="11" t="inlineStr">
        <is>
          <t>from aircraft to cars to bridges allow us to collect and store vast amounts of data in real time. In the midst of all of this data collection, the term big data has been created. There is no universally accepted definiti...</t>
        </is>
      </c>
    </row>
    <row r="13" ht="145.2" customHeight="1" s="21">
      <c r="A13" s="10" t="n">
        <v>1</v>
      </c>
      <c r="B13" s="11" t="inlineStr">
        <is>
          <t>hybrid</t>
        </is>
      </c>
      <c r="C13" s="10" t="n">
        <v>2</v>
      </c>
      <c r="D13" s="10" t="inlineStr">
        <is>
          <t>Yes</t>
        </is>
      </c>
      <c r="E13" s="11" t="inlineStr">
        <is>
          <t>Business_Analytics_Textbook_Cengage_pg_1_300.pdf</t>
        </is>
      </c>
      <c r="F13" s="11" t="inlineStr">
        <is>
          <t>page 33</t>
        </is>
      </c>
      <c r="G13" s="18" t="n">
        <v>0.03252247348427773</v>
      </c>
      <c r="H13" s="18" t="n"/>
      <c r="I13" s="11" t="inlineStr">
        <is>
          <t>1.4 Big Data 7 Chapter Title Descriptive Predictive Prescriptive 1 Introduction ● ● ● 2 Descriptive Statistics ● 3 Data Visualization ● 4 Probability: An Introduction to Modeling Uncertainty ● 5 Descriptive Data Mining ●...</t>
        </is>
      </c>
    </row>
    <row r="14" ht="158.4" customHeight="1" s="21">
      <c r="A14" s="10" t="n">
        <v>1</v>
      </c>
      <c r="B14" s="11" t="inlineStr">
        <is>
          <t>hybrid</t>
        </is>
      </c>
      <c r="C14" s="10" t="n">
        <v>3</v>
      </c>
      <c r="D14" s="10" t="inlineStr">
        <is>
          <t>Yes</t>
        </is>
      </c>
      <c r="E14" s="11" t="inlineStr">
        <is>
          <t>Business_Analytics_Textbook_Cengage_pg_1_300.pdf</t>
        </is>
      </c>
      <c r="F14" s="11" t="inlineStr">
        <is>
          <t>page 34</t>
        </is>
      </c>
      <c r="G14" s="18" t="n">
        <v>0.0317460335791111</v>
      </c>
      <c r="H14" s="18" t="n"/>
      <c r="I14" s="11" t="inlineStr">
        <is>
          <t>or ser- vices on social media platforms such as Twitter. Audio data are collected from service calls (on a service call, you will often hear “this call may be monitored for quality control”). Video data collected by in-s...</t>
        </is>
      </c>
    </row>
    <row r="15" ht="145.2" customHeight="1" s="21">
      <c r="A15" s="10" t="n">
        <v>1</v>
      </c>
      <c r="B15" s="11" t="inlineStr">
        <is>
          <t>hybrid</t>
        </is>
      </c>
      <c r="C15" s="10" t="n">
        <v>4</v>
      </c>
      <c r="D15" s="10" t="inlineStr">
        <is>
          <t>No</t>
        </is>
      </c>
      <c r="E15" s="11" t="inlineStr">
        <is>
          <t>Business_Analytics_Textbook_Cengage_pg_1_300.pdf</t>
        </is>
      </c>
      <c r="F15" s="11" t="inlineStr">
        <is>
          <t>page 43</t>
        </is>
      </c>
      <c r="G15" s="18" t="n">
        <v>0.02900987863540649</v>
      </c>
      <c r="H15" s="18" t="n"/>
      <c r="I15" s="11" t="inlineStr">
        <is>
          <t>Glossary 17 Data scientists Analysts trained in both computer science and statistics who know how to effectively process and analyze massive amounts of data. Data security Protecting stored data from destructive forces o...</t>
        </is>
      </c>
    </row>
    <row r="16" ht="132" customHeight="1" s="21">
      <c r="A16" s="10" t="n">
        <v>1</v>
      </c>
      <c r="B16" s="11" t="inlineStr">
        <is>
          <t>hybrid</t>
        </is>
      </c>
      <c r="C16" s="10" t="n">
        <v>5</v>
      </c>
      <c r="D16" s="10" t="inlineStr">
        <is>
          <t>No</t>
        </is>
      </c>
      <c r="E16" s="11" t="inlineStr">
        <is>
          <t>Business_Analytics_Textbook_Cengage_pg_1_300.pdf</t>
        </is>
      </c>
      <c r="F16" s="11" t="inlineStr">
        <is>
          <t>page 35</t>
        </is>
      </c>
      <c r="G16" s="18" t="n">
        <v>0.02843888662755489</v>
      </c>
      <c r="H16" s="18" t="n"/>
      <c r="I16" s="11" t="inlineStr">
        <is>
          <t>1.4 Big Data 9 a data breach is $3.86 million.6 Companies such as Target, Anthem, JPMorgan Chase, Yahoo!, Facebook, Marriott, Equifax, and Home Depot have faced major data breaches cost- ing millions of dollars. The comp...</t>
        </is>
      </c>
    </row>
    <row r="17" ht="145.2" customHeight="1" s="21">
      <c r="A17" s="10" t="n">
        <v>1</v>
      </c>
      <c r="B17" s="11" t="inlineStr">
        <is>
          <t>hybrid_semantic</t>
        </is>
      </c>
      <c r="C17" s="10" t="n">
        <v>1</v>
      </c>
      <c r="D17" s="10" t="inlineStr">
        <is>
          <t>Yes</t>
        </is>
      </c>
      <c r="E17" s="11" t="inlineStr">
        <is>
          <t>Business_Analytics_Textbook_Cengage_pg_1_300.pdf</t>
        </is>
      </c>
      <c r="F17" s="11" t="inlineStr">
        <is>
          <t>page 32</t>
        </is>
      </c>
      <c r="G17" s="18" t="n">
        <v>0.03306011110544205</v>
      </c>
      <c r="H17" s="18" t="n">
        <v>3.268290519714355</v>
      </c>
      <c r="I17" s="11" t="inlineStr">
        <is>
          <t>from aircraft to cars to bridges allow us to collect and store vast amounts of data in real time. In the midst of all of this data collection, the term big data has been created. There is no universally accepted definiti...</t>
        </is>
      </c>
    </row>
    <row r="18" ht="145.2" customHeight="1" s="21">
      <c r="A18" s="10" t="n">
        <v>1</v>
      </c>
      <c r="B18" s="11" t="inlineStr">
        <is>
          <t>hybrid_semantic</t>
        </is>
      </c>
      <c r="C18" s="10" t="n">
        <v>2</v>
      </c>
      <c r="D18" s="10" t="inlineStr">
        <is>
          <t>Yes</t>
        </is>
      </c>
      <c r="E18" s="11" t="inlineStr">
        <is>
          <t>Business_Analytics_Textbook_Cengage_pg_1_300.pdf</t>
        </is>
      </c>
      <c r="F18" s="11" t="inlineStr">
        <is>
          <t>page 33</t>
        </is>
      </c>
      <c r="G18" s="18" t="n">
        <v>0.03252247348427773</v>
      </c>
      <c r="H18" s="18" t="n">
        <v>3.149897813796997</v>
      </c>
      <c r="I18" s="11" t="inlineStr">
        <is>
          <t>1.4 Big Data 7 Chapter Title Descriptive Predictive Prescriptive 1 Introduction ● ● ● 2 Descriptive Statistics ● 3 Data Visualization ● 4 Probability: An Introduction to Modeling Uncertainty ● 5 Descriptive Data Mining ●...</t>
        </is>
      </c>
    </row>
    <row r="19" ht="158.4" customHeight="1" s="21">
      <c r="A19" s="10" t="n">
        <v>1</v>
      </c>
      <c r="B19" s="11" t="inlineStr">
        <is>
          <t>hybrid_semantic</t>
        </is>
      </c>
      <c r="C19" s="10" t="n">
        <v>3</v>
      </c>
      <c r="D19" s="10" t="inlineStr">
        <is>
          <t>Yes</t>
        </is>
      </c>
      <c r="E19" s="11" t="inlineStr">
        <is>
          <t>Business_Analytics_Textbook_Cengage_pg_1_300.pdf</t>
        </is>
      </c>
      <c r="F19" s="11" t="inlineStr">
        <is>
          <t>page 34</t>
        </is>
      </c>
      <c r="G19" s="18" t="n">
        <v>0.0317460335791111</v>
      </c>
      <c r="H19" s="18" t="n">
        <v>2.440428018569946</v>
      </c>
      <c r="I19" s="11" t="inlineStr">
        <is>
          <t>or ser- vices on social media platforms such as Twitter. Audio data are collected from service calls (on a service call, you will often hear “this call may be monitored for quality control”). Video data collected by in-s...</t>
        </is>
      </c>
    </row>
    <row r="20" ht="158.4" customHeight="1" s="21">
      <c r="A20" s="10" t="n">
        <v>1</v>
      </c>
      <c r="B20" s="11" t="inlineStr">
        <is>
          <t>hybrid_semantic</t>
        </is>
      </c>
      <c r="C20" s="10" t="n">
        <v>4</v>
      </c>
      <c r="D20" s="10" t="inlineStr">
        <is>
          <t>No</t>
        </is>
      </c>
      <c r="E20" s="11" t="inlineStr">
        <is>
          <t>Business_Analytics_Textbook_Cengage_pg_1_300.pdf</t>
        </is>
      </c>
      <c r="F20" s="11" t="inlineStr">
        <is>
          <t>page 28</t>
        </is>
      </c>
      <c r="G20" s="18" t="n">
        <v>0.01408450677990913</v>
      </c>
      <c r="H20" s="18" t="n">
        <v>2.151003837585449</v>
      </c>
      <c r="I20" s="11" t="inlineStr">
        <is>
          <t>AI is the use of data and computers to make decisions that would have in the past required human intelligence. Often, the computer software mimics the way we understand the human brain functions. Watson became a househol...</t>
        </is>
      </c>
    </row>
    <row r="21" ht="145.2" customHeight="1" s="21">
      <c r="A21" s="10" t="n">
        <v>1</v>
      </c>
      <c r="B21" s="11" t="inlineStr">
        <is>
          <t>hybrid_semantic</t>
        </is>
      </c>
      <c r="C21" s="10" t="n">
        <v>5</v>
      </c>
      <c r="D21" s="10" t="inlineStr">
        <is>
          <t>No</t>
        </is>
      </c>
      <c r="E21" s="11" t="inlineStr">
        <is>
          <t>Business_Analytics_Textbook_Cengage_pg_1_300.pdf</t>
        </is>
      </c>
      <c r="F21" s="11" t="inlineStr">
        <is>
          <t>page 32</t>
        </is>
      </c>
      <c r="G21" s="18" t="n">
        <v>0.02380952425301075</v>
      </c>
      <c r="H21" s="18" t="n">
        <v>2.127121448516846</v>
      </c>
      <c r="I21" s="11" t="inlineStr">
        <is>
          <t>with optimi- zation techniques to find good decisions in highly complex and highly uncertain settings. Finally, the techniques of decision analysis can be used to develop an optimal strategy when a decision maker is face...</t>
        </is>
      </c>
    </row>
    <row r="22" ht="132" customHeight="1" s="21">
      <c r="A22" s="10" t="n">
        <v>2</v>
      </c>
      <c r="B22" s="11" t="inlineStr">
        <is>
          <t>keyword</t>
        </is>
      </c>
      <c r="C22" s="10" t="n">
        <v>1</v>
      </c>
      <c r="D22" s="10" t="inlineStr">
        <is>
          <t>Yes</t>
        </is>
      </c>
      <c r="E22" s="11" t="inlineStr">
        <is>
          <t>Business_Analytics_Textbook_Cengage_pg_1_300.pdf</t>
        </is>
      </c>
      <c r="F22" s="11" t="inlineStr">
        <is>
          <t>page 35</t>
        </is>
      </c>
      <c r="G22" s="18" t="n">
        <v>44.25981</v>
      </c>
      <c r="H22" s="18" t="n"/>
      <c r="I22" s="11" t="inlineStr">
        <is>
          <t>1.4 Big Data 9 a data breach is $3.86 million.6 Companies such as Target, Anthem, JPMorgan Chase, Yahoo!, Facebook, Marriott, Equifax, and Home Depot have faced major data breaches cost- ing millions of dollars. The comp...</t>
        </is>
      </c>
    </row>
    <row r="23" ht="158.4" customHeight="1" s="21">
      <c r="A23" s="10" t="n">
        <v>2</v>
      </c>
      <c r="B23" s="11" t="inlineStr">
        <is>
          <t>keyword</t>
        </is>
      </c>
      <c r="C23" s="10" t="n">
        <v>2</v>
      </c>
      <c r="D23" s="10" t="inlineStr">
        <is>
          <t>No</t>
        </is>
      </c>
      <c r="E23" s="11" t="inlineStr">
        <is>
          <t>Business_Analytics_Textbook_Cengage_pg_1_300.pdf</t>
        </is>
      </c>
      <c r="F23" s="11" t="inlineStr">
        <is>
          <t>page 35</t>
        </is>
      </c>
      <c r="G23" s="18" t="n">
        <v>15.778287</v>
      </c>
      <c r="H23" s="18" t="n"/>
      <c r="I23" s="11" t="inlineStr">
        <is>
          <t>on several years of shopping data obtained through its customer loyalty card program. By collecting and analyzing consumer behavior at the individual household level, and better matching its coupon offers to shopper inte...</t>
        </is>
      </c>
    </row>
    <row r="24" ht="132" customHeight="1" s="21">
      <c r="A24" s="10" t="n">
        <v>2</v>
      </c>
      <c r="B24" s="11" t="inlineStr">
        <is>
          <t>keyword</t>
        </is>
      </c>
      <c r="C24" s="10" t="n">
        <v>3</v>
      </c>
      <c r="D24" s="10" t="inlineStr">
        <is>
          <t>No</t>
        </is>
      </c>
      <c r="E24" s="11" t="inlineStr">
        <is>
          <t>Business_Analytics_Textbook_Cengage_pg_1_300.pdf</t>
        </is>
      </c>
      <c r="F24" s="11" t="inlineStr">
        <is>
          <t>page 165</t>
        </is>
      </c>
      <c r="G24" s="18" t="n">
        <v>14.861037</v>
      </c>
      <c r="H24" s="18" t="n"/>
      <c r="I24" s="11" t="inlineStr">
        <is>
          <t>case Problem 1: Pelican stores 139 C AS e Pr O blem 1: Peli CA n STO re S Pelican Stores, a division of National Clothing, is a chain of women’s apparel stores operat- ing throughout the country. The chain recently ran a...</t>
        </is>
      </c>
    </row>
    <row r="25" ht="158.4" customHeight="1" s="21">
      <c r="A25" s="10" t="n">
        <v>2</v>
      </c>
      <c r="B25" s="11" t="inlineStr">
        <is>
          <t>keyword</t>
        </is>
      </c>
      <c r="C25" s="10" t="n">
        <v>4</v>
      </c>
      <c r="D25" s="10" t="inlineStr">
        <is>
          <t>No</t>
        </is>
      </c>
      <c r="E25" s="11" t="inlineStr">
        <is>
          <t>Business_Analytics_Textbook_Cengage_pg_1_300.pdf</t>
        </is>
      </c>
      <c r="F25" s="11" t="inlineStr">
        <is>
          <t>page 255</t>
        </is>
      </c>
      <c r="G25" s="18" t="n">
        <v>14.0979</v>
      </c>
      <c r="H25" s="18" t="n"/>
      <c r="I25" s="11" t="inlineStr">
        <is>
          <t>respon- dents need to be analyzed so that Triad can better understand its customers’ specific concerns and respond in an appropriate manner. Table 5.6 contains a small training sample of these com- ments we will use to i...</t>
        </is>
      </c>
    </row>
    <row r="26" ht="158.4" customHeight="1" s="21">
      <c r="A26" s="10" t="n">
        <v>2</v>
      </c>
      <c r="B26" s="11" t="inlineStr">
        <is>
          <t>keyword</t>
        </is>
      </c>
      <c r="C26" s="10" t="n">
        <v>5</v>
      </c>
      <c r="D26" s="10" t="inlineStr">
        <is>
          <t>No</t>
        </is>
      </c>
      <c r="E26" s="11" t="inlineStr">
        <is>
          <t>Business_Analytics_Textbook_Cengage_pg_1_300.pdf</t>
        </is>
      </c>
      <c r="F26" s="11" t="inlineStr">
        <is>
          <t>page 276</t>
        </is>
      </c>
      <c r="G26" s="18" t="n">
        <v>13.851866</v>
      </c>
      <c r="H26" s="18" t="n"/>
      <c r="I26" s="11" t="inlineStr">
        <is>
          <t>involves an Ital- ian item. f. What insight can the grocery store obtain about its purchasers of the Italian fare? 22. Text Mining of Tweets. Companies can learn a lot about customer experiences by monitoring the social...</t>
        </is>
      </c>
    </row>
    <row r="27" ht="158.4" customHeight="1" s="21">
      <c r="A27" s="10" t="n">
        <v>2</v>
      </c>
      <c r="B27" s="11" t="inlineStr">
        <is>
          <t>vector</t>
        </is>
      </c>
      <c r="C27" s="10" t="n">
        <v>1</v>
      </c>
      <c r="D27" s="10" t="inlineStr">
        <is>
          <t>No</t>
        </is>
      </c>
      <c r="E27" s="11" t="inlineStr">
        <is>
          <t>Business_Analytics_Textbook_Cengage_pg_1_300.pdf</t>
        </is>
      </c>
      <c r="F27" s="11" t="inlineStr">
        <is>
          <t>page 35</t>
        </is>
      </c>
      <c r="G27" s="18" t="n">
        <v>0.6584376</v>
      </c>
      <c r="H27" s="18" t="n"/>
      <c r="I27" s="11" t="inlineStr">
        <is>
          <t>on several years of shopping data obtained through its customer loyalty card program. By collecting and analyzing consumer behavior at the individual household level, and better matching its coupon offers to shopper inte...</t>
        </is>
      </c>
    </row>
    <row r="28" ht="132" customHeight="1" s="21">
      <c r="A28" s="10" t="n">
        <v>2</v>
      </c>
      <c r="B28" s="11" t="inlineStr">
        <is>
          <t>vector</t>
        </is>
      </c>
      <c r="C28" s="10" t="n">
        <v>2</v>
      </c>
      <c r="D28" s="10" t="inlineStr">
        <is>
          <t>Yes</t>
        </is>
      </c>
      <c r="E28" s="11" t="inlineStr">
        <is>
          <t>Business_Analytics_Textbook_Cengage_pg_1_300.pdf</t>
        </is>
      </c>
      <c r="F28" s="11" t="inlineStr">
        <is>
          <t>page 35</t>
        </is>
      </c>
      <c r="G28" s="18" t="n">
        <v>0.6331526</v>
      </c>
      <c r="H28" s="18" t="n"/>
      <c r="I28" s="11" t="inlineStr">
        <is>
          <t>1.4 Big Data 9 a data breach is $3.86 million.6 Companies such as Target, Anthem, JPMorgan Chase, Yahoo!, Facebook, Marriott, Equifax, and Home Depot have faced major data breaches cost- ing millions of dollars. The comp...</t>
        </is>
      </c>
    </row>
    <row r="29" ht="132" customHeight="1" s="21">
      <c r="A29" s="10" t="n">
        <v>2</v>
      </c>
      <c r="B29" s="11" t="inlineStr">
        <is>
          <t>vector</t>
        </is>
      </c>
      <c r="C29" s="10" t="n">
        <v>3</v>
      </c>
      <c r="D29" s="10" t="inlineStr">
        <is>
          <t>No</t>
        </is>
      </c>
      <c r="E29" s="11" t="inlineStr">
        <is>
          <t>Business_Analytics_Textbook_Cengage_pg_1_300.pdf</t>
        </is>
      </c>
      <c r="F29" s="11" t="inlineStr">
        <is>
          <t>page 165</t>
        </is>
      </c>
      <c r="G29" s="18" t="n">
        <v>0.63240105</v>
      </c>
      <c r="H29" s="18" t="n"/>
      <c r="I29" s="11" t="inlineStr">
        <is>
          <t>case Problem 1: Pelican stores 139 C AS e Pr O blem 1: Peli CA n STO re S Pelican Stores, a division of National Clothing, is a chain of women’s apparel stores operat- ing throughout the country. The chain recently ran a...</t>
        </is>
      </c>
    </row>
    <row r="30" ht="158.4" customHeight="1" s="21">
      <c r="A30" s="10" t="n">
        <v>2</v>
      </c>
      <c r="B30" s="11" t="inlineStr">
        <is>
          <t>vector</t>
        </is>
      </c>
      <c r="C30" s="10" t="n">
        <v>4</v>
      </c>
      <c r="D30" s="10" t="inlineStr">
        <is>
          <t>No</t>
        </is>
      </c>
      <c r="E30" s="11" t="inlineStr">
        <is>
          <t>Business_Analytics_Textbook_Cengage_pg_1_300.pdf</t>
        </is>
      </c>
      <c r="F30" s="11" t="inlineStr">
        <is>
          <t>page 165</t>
        </is>
      </c>
      <c r="G30" s="18" t="n">
        <v>0.6231402</v>
      </c>
      <c r="H30" s="18" t="n"/>
      <c r="I30" s="11" t="inlineStr">
        <is>
          <t>the sales made to people pre- senting the promotional coupons as sales it would not otherwise make. Of course, Pelican also hopes that the promotional customers will continue to shop at its stores. Most of the variables...</t>
        </is>
      </c>
    </row>
    <row r="31" ht="158.4" customHeight="1" s="21">
      <c r="A31" s="10" t="n">
        <v>2</v>
      </c>
      <c r="B31" s="11" t="inlineStr">
        <is>
          <t>vector</t>
        </is>
      </c>
      <c r="C31" s="10" t="n">
        <v>5</v>
      </c>
      <c r="D31" s="10" t="inlineStr">
        <is>
          <t>No</t>
        </is>
      </c>
      <c r="E31" s="11" t="inlineStr">
        <is>
          <t>Business_Analytics_Textbook_Cengage_pg_1_300.pdf</t>
        </is>
      </c>
      <c r="F31" s="11" t="inlineStr">
        <is>
          <t>page 275</t>
        </is>
      </c>
      <c r="G31" s="18" t="n">
        <v>0.6134414</v>
      </c>
      <c r="H31" s="18" t="n"/>
      <c r="I31" s="11" t="inlineStr">
        <is>
          <t>movies, and the average box office earnings of movies in each cluster. How would you describe the movies in each cluster? 18. k-Means Clustering of Trader Joe’ s Stores. Josephine Mater works for the supply-chain analyti...</t>
        </is>
      </c>
    </row>
    <row r="32" ht="132" customHeight="1" s="21">
      <c r="A32" s="10" t="n">
        <v>2</v>
      </c>
      <c r="B32" s="11" t="inlineStr">
        <is>
          <t>hybrid</t>
        </is>
      </c>
      <c r="C32" s="10" t="n">
        <v>1</v>
      </c>
      <c r="D32" s="10" t="inlineStr">
        <is>
          <t>Yes</t>
        </is>
      </c>
      <c r="E32" s="11" t="inlineStr">
        <is>
          <t>Business_Analytics_Textbook_Cengage_pg_1_300.pdf</t>
        </is>
      </c>
      <c r="F32" s="11" t="inlineStr">
        <is>
          <t>page 35</t>
        </is>
      </c>
      <c r="G32" s="18" t="n">
        <v>0.03306011110544205</v>
      </c>
      <c r="H32" s="18" t="n"/>
      <c r="I32" s="11" t="inlineStr">
        <is>
          <t>1.4 Big Data 9 a data breach is $3.86 million.6 Companies such as Target, Anthem, JPMorgan Chase, Yahoo!, Facebook, Marriott, Equifax, and Home Depot have faced major data breaches cost- ing millions of dollars. The comp...</t>
        </is>
      </c>
    </row>
    <row r="33" ht="158.4" customHeight="1" s="21">
      <c r="A33" s="10" t="n">
        <v>2</v>
      </c>
      <c r="B33" s="11" t="inlineStr">
        <is>
          <t>hybrid</t>
        </is>
      </c>
      <c r="C33" s="10" t="n">
        <v>2</v>
      </c>
      <c r="D33" s="10" t="inlineStr">
        <is>
          <t>No</t>
        </is>
      </c>
      <c r="E33" s="11" t="inlineStr">
        <is>
          <t>Business_Analytics_Textbook_Cengage_pg_1_300.pdf</t>
        </is>
      </c>
      <c r="F33" s="11" t="inlineStr">
        <is>
          <t>page 35</t>
        </is>
      </c>
      <c r="G33" s="18" t="n">
        <v>0.03306011110544205</v>
      </c>
      <c r="H33" s="18" t="n"/>
      <c r="I33" s="11" t="inlineStr">
        <is>
          <t>on several years of shopping data obtained through its customer loyalty card program. By collecting and analyzing consumer behavior at the individual household level, and better matching its coupon offers to shopper inte...</t>
        </is>
      </c>
    </row>
    <row r="34" ht="132" customHeight="1" s="21">
      <c r="A34" s="10" t="n">
        <v>2</v>
      </c>
      <c r="B34" s="11" t="inlineStr">
        <is>
          <t>hybrid</t>
        </is>
      </c>
      <c r="C34" s="10" t="n">
        <v>3</v>
      </c>
      <c r="D34" s="10" t="inlineStr">
        <is>
          <t>No</t>
        </is>
      </c>
      <c r="E34" s="11" t="inlineStr">
        <is>
          <t>Business_Analytics_Textbook_Cengage_pg_1_300.pdf</t>
        </is>
      </c>
      <c r="F34" s="11" t="inlineStr">
        <is>
          <t>page 165</t>
        </is>
      </c>
      <c r="G34" s="18" t="n">
        <v>0.03225806355476379</v>
      </c>
      <c r="H34" s="18" t="n"/>
      <c r="I34" s="11" t="inlineStr">
        <is>
          <t>case Problem 1: Pelican stores 139 C AS e Pr O blem 1: Peli CA n STO re S Pelican Stores, a division of National Clothing, is a chain of women’s apparel stores operat- ing throughout the country. The chain recently ran a...</t>
        </is>
      </c>
    </row>
    <row r="35" ht="158.4" customHeight="1" s="21">
      <c r="A35" s="10" t="n">
        <v>2</v>
      </c>
      <c r="B35" s="11" t="inlineStr">
        <is>
          <t>hybrid</t>
        </is>
      </c>
      <c r="C35" s="10" t="n">
        <v>4</v>
      </c>
      <c r="D35" s="10" t="inlineStr">
        <is>
          <t>No</t>
        </is>
      </c>
      <c r="E35" s="11" t="inlineStr">
        <is>
          <t>Business_Analytics_Textbook_Cengage_pg_1_300.pdf</t>
        </is>
      </c>
      <c r="F35" s="11" t="inlineStr">
        <is>
          <t>page 275</t>
        </is>
      </c>
      <c r="G35" s="18" t="n">
        <v>0.03077651560306549</v>
      </c>
      <c r="H35" s="18" t="n"/>
      <c r="I35" s="11" t="inlineStr">
        <is>
          <t>movies, and the average box office earnings of movies in each cluster. How would you describe the movies in each cluster? 18. k-Means Clustering of Trader Joe’ s Stores. Josephine Mater works for the supply-chain analyti...</t>
        </is>
      </c>
    </row>
    <row r="36" ht="158.4" customHeight="1" s="21">
      <c r="A36" s="10" t="n">
        <v>2</v>
      </c>
      <c r="B36" s="11" t="inlineStr">
        <is>
          <t>hybrid</t>
        </is>
      </c>
      <c r="C36" s="10" t="n">
        <v>5</v>
      </c>
      <c r="D36" s="10" t="inlineStr">
        <is>
          <t>No</t>
        </is>
      </c>
      <c r="E36" s="11" t="inlineStr">
        <is>
          <t>Business_Analytics_Textbook_Cengage_pg_1_300.pdf</t>
        </is>
      </c>
      <c r="F36" s="11" t="inlineStr">
        <is>
          <t>page 165</t>
        </is>
      </c>
      <c r="G36" s="18" t="n">
        <v>0.02938653156161308</v>
      </c>
      <c r="H36" s="18" t="n"/>
      <c r="I36" s="11" t="inlineStr">
        <is>
          <t>the sales made to people pre- senting the promotional coupons as sales it would not otherwise make. Of course, Pelican also hopes that the promotional customers will continue to shop at its stores. Most of the variables...</t>
        </is>
      </c>
    </row>
    <row r="37" ht="132" customHeight="1" s="21">
      <c r="A37" s="10" t="n">
        <v>2</v>
      </c>
      <c r="B37" s="11" t="inlineStr">
        <is>
          <t>hybrid_semantic</t>
        </is>
      </c>
      <c r="C37" s="10" t="n">
        <v>1</v>
      </c>
      <c r="D37" s="10" t="inlineStr">
        <is>
          <t>Yes</t>
        </is>
      </c>
      <c r="E37" s="11" t="inlineStr">
        <is>
          <t>Business_Analytics_Textbook_Cengage_pg_1_300.pdf</t>
        </is>
      </c>
      <c r="F37" s="11" t="inlineStr">
        <is>
          <t>page 35</t>
        </is>
      </c>
      <c r="G37" s="18" t="n">
        <v>0.03306011110544205</v>
      </c>
      <c r="H37" s="18" t="n">
        <v>3.065534353256226</v>
      </c>
      <c r="I37" s="11" t="inlineStr">
        <is>
          <t>1.4 Big Data 9 a data breach is $3.86 million.6 Companies such as Target, Anthem, JPMorgan Chase, Yahoo!, Facebook, Marriott, Equifax, and Home Depot have faced major data breaches cost- ing millions of dollars. The comp...</t>
        </is>
      </c>
    </row>
    <row r="38" ht="158.4" customHeight="1" s="21">
      <c r="A38" s="10" t="n">
        <v>2</v>
      </c>
      <c r="B38" s="11" t="inlineStr">
        <is>
          <t>hybrid_semantic</t>
        </is>
      </c>
      <c r="C38" s="10" t="n">
        <v>2</v>
      </c>
      <c r="D38" s="10" t="inlineStr">
        <is>
          <t>No</t>
        </is>
      </c>
      <c r="E38" s="11" t="inlineStr">
        <is>
          <t>Business_Analytics_Textbook_Cengage_pg_1_300.pdf</t>
        </is>
      </c>
      <c r="F38" s="11" t="inlineStr">
        <is>
          <t>page 35</t>
        </is>
      </c>
      <c r="G38" s="18" t="n">
        <v>0.03306011110544205</v>
      </c>
      <c r="H38" s="18" t="n">
        <v>1.971996903419495</v>
      </c>
      <c r="I38" s="11" t="inlineStr">
        <is>
          <t>on several years of shopping data obtained through its customer loyalty card program. By collecting and analyzing consumer behavior at the individual household level, and better matching its coupon offers to shopper inte...</t>
        </is>
      </c>
    </row>
    <row r="39" ht="158.4" customHeight="1" s="21">
      <c r="A39" s="10" t="n">
        <v>2</v>
      </c>
      <c r="B39" s="11" t="inlineStr">
        <is>
          <t>hybrid_semantic</t>
        </is>
      </c>
      <c r="C39" s="10" t="n">
        <v>3</v>
      </c>
      <c r="D39" s="10" t="inlineStr">
        <is>
          <t>No</t>
        </is>
      </c>
      <c r="E39" s="11" t="inlineStr">
        <is>
          <t>Business_Analytics_Textbook_Cengage_pg_1_300.pdf</t>
        </is>
      </c>
      <c r="F39" s="11" t="inlineStr">
        <is>
          <t>page 165</t>
        </is>
      </c>
      <c r="G39" s="18" t="n">
        <v>0.02938653156161308</v>
      </c>
      <c r="H39" s="18" t="n">
        <v>1.578890681266785</v>
      </c>
      <c r="I39" s="11" t="inlineStr">
        <is>
          <t>the sales made to people pre- senting the promotional coupons as sales it would not otherwise make. Of course, Pelican also hopes that the promotional customers will continue to shop at its stores. Most of the variables...</t>
        </is>
      </c>
    </row>
    <row r="40" ht="158.4" customHeight="1" s="21">
      <c r="A40" s="10" t="n">
        <v>2</v>
      </c>
      <c r="B40" s="11" t="inlineStr">
        <is>
          <t>hybrid_semantic</t>
        </is>
      </c>
      <c r="C40" s="10" t="n">
        <v>4</v>
      </c>
      <c r="D40" s="10" t="inlineStr">
        <is>
          <t>No</t>
        </is>
      </c>
      <c r="E40" s="11" t="inlineStr">
        <is>
          <t>Business_Analytics_Textbook_Cengage_pg_1_300.pdf</t>
        </is>
      </c>
      <c r="F40" s="11" t="inlineStr">
        <is>
          <t>page 285</t>
        </is>
      </c>
      <c r="G40" s="18" t="n">
        <v>0.02687886729836464</v>
      </c>
      <c r="H40" s="18" t="n">
        <v>1.459434509277344</v>
      </c>
      <c r="I40" s="11" t="inlineStr">
        <is>
          <t>if the inter- viewer selected a group of five customers who entered the restaurant together and asked all of them to participate in the sample. Such a group of customers would be likely to exhibit similar characteristics...</t>
        </is>
      </c>
    </row>
    <row r="41" ht="132" customHeight="1" s="21">
      <c r="A41" s="10" t="n">
        <v>2</v>
      </c>
      <c r="B41" s="11" t="inlineStr">
        <is>
          <t>hybrid_semantic</t>
        </is>
      </c>
      <c r="C41" s="10" t="n">
        <v>5</v>
      </c>
      <c r="D41" s="10" t="inlineStr">
        <is>
          <t>No</t>
        </is>
      </c>
      <c r="E41" s="11" t="inlineStr">
        <is>
          <t>Business_Analytics_Textbook_Cengage_pg_1_300.pdf</t>
        </is>
      </c>
      <c r="F41" s="11" t="inlineStr">
        <is>
          <t>page 31</t>
        </is>
      </c>
      <c r="G41" s="18" t="n">
        <v>0.01219512149691582</v>
      </c>
      <c r="H41" s="18" t="n">
        <v>1.301695823669434</v>
      </c>
      <c r="I41" s="11" t="inlineStr">
        <is>
          <t>analytics. Linear regression, time series analysis, some data-mining techniques, and simulation, often referred to as risk analysis, all fall under the banner of predictive analytics. We dis- cuss all of these techniques...</t>
        </is>
      </c>
    </row>
    <row r="42" ht="145.2" customHeight="1" s="21">
      <c r="A42" s="10" t="n">
        <v>3</v>
      </c>
      <c r="B42" s="11" t="inlineStr">
        <is>
          <t>keyword</t>
        </is>
      </c>
      <c r="C42" s="10" t="n">
        <v>1</v>
      </c>
      <c r="D42" s="10" t="inlineStr">
        <is>
          <t>No</t>
        </is>
      </c>
      <c r="E42" s="11" t="inlineStr">
        <is>
          <t>Business_Analytics_Textbook_Cengage_pg_1_300.pdf</t>
        </is>
      </c>
      <c r="F42" s="11" t="inlineStr">
        <is>
          <t>page 185</t>
        </is>
      </c>
      <c r="G42" s="18" t="n">
        <v>15.712019</v>
      </c>
      <c r="H42" s="18" t="n"/>
      <c r="I42" s="11" t="inlineStr">
        <is>
          <t>to occur if any one of these outcomes occurs. A variety of additional events can be defined for the CP&amp;L project: Ll esst han M more than Thee vent that thep roject is completedi n1 0m onths 8, 9 Thee vent that thep roje...</t>
        </is>
      </c>
    </row>
    <row r="43" ht="132" customHeight="1" s="21">
      <c r="A43" s="10" t="n">
        <v>3</v>
      </c>
      <c r="B43" s="11" t="inlineStr">
        <is>
          <t>keyword</t>
        </is>
      </c>
      <c r="C43" s="10" t="n">
        <v>2</v>
      </c>
      <c r="D43" s="10" t="inlineStr">
        <is>
          <t>No</t>
        </is>
      </c>
      <c r="E43" s="11" t="inlineStr">
        <is>
          <t>Business_Analytics_Textbook_Cengage_pg_1_300.pdf</t>
        </is>
      </c>
      <c r="F43" s="11" t="inlineStr">
        <is>
          <t>page 226</t>
        </is>
      </c>
      <c r="G43" s="18" t="n">
        <v>12.902727</v>
      </c>
      <c r="H43" s="18" t="n"/>
      <c r="I43" s="11" t="inlineStr">
        <is>
          <t>200 chapter 4 Probability: An Introduction to Modeling Uncertainty P R o B l E m S 1. Airline Performance Measures. On-time arrivals, lost baggage, and customer com- plaints are three measures that are typically used to...</t>
        </is>
      </c>
    </row>
    <row r="44" ht="52.8" customHeight="1" s="21">
      <c r="A44" s="10" t="n">
        <v>3</v>
      </c>
      <c r="B44" s="11" t="inlineStr">
        <is>
          <t>keyword</t>
        </is>
      </c>
      <c r="C44" s="10" t="n">
        <v>3</v>
      </c>
      <c r="D44" s="10" t="inlineStr">
        <is>
          <t>No</t>
        </is>
      </c>
      <c r="E44" s="11" t="inlineStr">
        <is>
          <t>Business Analytics Overview.pptx</t>
        </is>
      </c>
      <c r="F44" s="11" t="inlineStr">
        <is>
          <t>slide 7</t>
        </is>
      </c>
      <c r="G44" s="18" t="n">
        <v>12.571788</v>
      </c>
      <c r="H44" s="18" t="n"/>
      <c r="I44" s="11" t="inlineStr">
        <is>
          <t>Investments in Analytics Challenges to Calculate ROI Identify the investments’ actual costs and benefits Sharing infrastructure, such as software, hardware, and data preparation What portion of the costs are directly par...</t>
        </is>
      </c>
    </row>
    <row r="45" ht="39.6" customHeight="1" s="21">
      <c r="A45" s="10" t="n">
        <v>3</v>
      </c>
      <c r="B45" s="11" t="inlineStr">
        <is>
          <t>keyword</t>
        </is>
      </c>
      <c r="C45" s="10" t="n">
        <v>4</v>
      </c>
      <c r="D45" s="10" t="inlineStr">
        <is>
          <t>No</t>
        </is>
      </c>
      <c r="E45" s="11" t="inlineStr">
        <is>
          <t>Business Analytics Overview.pptx</t>
        </is>
      </c>
      <c r="F45" s="11" t="inlineStr">
        <is>
          <t>slide 9</t>
        </is>
      </c>
      <c r="G45" s="18" t="n">
        <v>12.001289</v>
      </c>
      <c r="H45" s="18" t="n"/>
      <c r="I45" s="11" t="inlineStr">
        <is>
          <t>Key Trends UNC Charlotte, Spring 2026 Automation Automated data science: DataRobot and H2O.ai, Code Assistants (GitHub Copilot, Cursor), Agentic AI Question: Will AutoML replace data scientists? Regulation and governance...</t>
        </is>
      </c>
    </row>
    <row r="46" ht="158.4" customHeight="1" s="21">
      <c r="A46" s="10" t="n">
        <v>3</v>
      </c>
      <c r="B46" s="11" t="inlineStr">
        <is>
          <t>keyword</t>
        </is>
      </c>
      <c r="C46" s="10" t="n">
        <v>5</v>
      </c>
      <c r="D46" s="10" t="inlineStr">
        <is>
          <t>No</t>
        </is>
      </c>
      <c r="E46" s="11" t="inlineStr">
        <is>
          <t>Business analytics - Wikipedia</t>
        </is>
      </c>
      <c r="F46" s="11" t="n"/>
      <c r="G46" s="18" t="n">
        <v>10.547337</v>
      </c>
      <c r="H46" s="18" t="n"/>
      <c r="I46" s="11" t="inlineStr">
        <is>
          <t>analytics focusses on prediction and prescription. [ 1 ] Business analytics makes extensive use of analytical modeling and numerical analysis, including explanatory and predictive modeling , [ 2 ] and fact-based manageme...</t>
        </is>
      </c>
    </row>
    <row r="47" ht="52.8" customHeight="1" s="21">
      <c r="A47" s="10" t="n">
        <v>3</v>
      </c>
      <c r="B47" s="11" t="inlineStr">
        <is>
          <t>vector</t>
        </is>
      </c>
      <c r="C47" s="10" t="n">
        <v>1</v>
      </c>
      <c r="D47" s="10" t="inlineStr">
        <is>
          <t>Yes</t>
        </is>
      </c>
      <c r="E47" s="11" t="inlineStr">
        <is>
          <t>Business Analytics Overview.pptx</t>
        </is>
      </c>
      <c r="F47" s="11" t="inlineStr">
        <is>
          <t>slide 8</t>
        </is>
      </c>
      <c r="G47" s="18" t="n">
        <v>0.7048654600000001</v>
      </c>
      <c r="H47" s="18" t="n"/>
      <c r="I47" s="11" t="inlineStr">
        <is>
          <t>Investments in Analytics UNC Charlotte, Spring 2026 Avoid analytics project pitfalls The failure rate for analytics project: over 80% Data issues Solving the wrong problem  Ask the questions Model too complex  Keep it...</t>
        </is>
      </c>
    </row>
    <row r="48">
      <c r="A48" s="10" t="n">
        <v>3</v>
      </c>
      <c r="B48" s="11" t="inlineStr">
        <is>
          <t>vector</t>
        </is>
      </c>
      <c r="C48" s="10" t="n">
        <v>2</v>
      </c>
      <c r="D48" s="10" t="inlineStr">
        <is>
          <t>No</t>
        </is>
      </c>
      <c r="E48" s="11" t="inlineStr">
        <is>
          <t>Business Analytics Overview.pptx</t>
        </is>
      </c>
      <c r="F48" s="11" t="inlineStr">
        <is>
          <t>slide 1</t>
        </is>
      </c>
      <c r="G48" s="18" t="n">
        <v>0.6494661</v>
      </c>
      <c r="H48" s="18" t="n"/>
      <c r="I48" s="11" t="inlineStr">
        <is>
          <t>Business Analytics: An Overview DSBA/MBAD 6211 Advanced Business Analytics</t>
        </is>
      </c>
    </row>
    <row r="49" ht="26.4" customHeight="1" s="21">
      <c r="A49" s="10" t="n">
        <v>3</v>
      </c>
      <c r="B49" s="11" t="inlineStr">
        <is>
          <t>vector</t>
        </is>
      </c>
      <c r="C49" s="10" t="n">
        <v>3</v>
      </c>
      <c r="D49" s="10" t="inlineStr">
        <is>
          <t>No</t>
        </is>
      </c>
      <c r="E49" s="11" t="inlineStr">
        <is>
          <t>Business_Analytics_Study_Guide_UNCC.pdf</t>
        </is>
      </c>
      <c r="F49" s="11" t="inlineStr">
        <is>
          <t>page 3</t>
        </is>
      </c>
      <c r="G49" s="18" t="n">
        <v>0.6406276</v>
      </c>
      <c r="H49" s="18" t="n"/>
      <c r="I49" s="11" t="inlineStr">
        <is>
          <t>3. Explain Recall and Precision for this problem 4. Calculate the F1 Score 5. Draw the ROC curve</t>
        </is>
      </c>
    </row>
    <row r="50" ht="26.4" customHeight="1" s="21">
      <c r="A50" s="10" t="n">
        <v>3</v>
      </c>
      <c r="B50" s="11" t="inlineStr">
        <is>
          <t>vector</t>
        </is>
      </c>
      <c r="C50" s="10" t="n">
        <v>4</v>
      </c>
      <c r="D50" s="10" t="inlineStr">
        <is>
          <t>No</t>
        </is>
      </c>
      <c r="E50" s="11" t="inlineStr">
        <is>
          <t>Business Analytics Overview.pptx</t>
        </is>
      </c>
      <c r="F50" s="11" t="inlineStr">
        <is>
          <t>slide 5</t>
        </is>
      </c>
      <c r="G50" s="18" t="n">
        <v>0.6380031</v>
      </c>
      <c r="H50" s="18" t="n"/>
      <c r="I50" s="11" t="inlineStr">
        <is>
          <t>UNC Charlotte, Spring 2026 Speaker notes: https://www.domo.com/learn/infographic/data-never-sleeps-12 https://www.domo.com/learn/infographic/data-never-sleeps-ai-edition-2025</t>
        </is>
      </c>
    </row>
    <row r="51" ht="39.6" customHeight="1" s="21">
      <c r="A51" s="10" t="n">
        <v>3</v>
      </c>
      <c r="B51" s="11" t="inlineStr">
        <is>
          <t>vector</t>
        </is>
      </c>
      <c r="C51" s="10" t="n">
        <v>5</v>
      </c>
      <c r="D51" s="10" t="inlineStr">
        <is>
          <t>No</t>
        </is>
      </c>
      <c r="E51" s="11" t="inlineStr">
        <is>
          <t>Business Analytics Overview.pptx</t>
        </is>
      </c>
      <c r="F51" s="11" t="inlineStr">
        <is>
          <t>slide 9</t>
        </is>
      </c>
      <c r="G51" s="18" t="n">
        <v>0.6367177000000001</v>
      </c>
      <c r="H51" s="18" t="n"/>
      <c r="I51" s="11" t="inlineStr">
        <is>
          <t>Key Trends UNC Charlotte, Spring 2026 Automation Automated data science: DataRobot and H2O.ai, Code Assistants (GitHub Copilot, Cursor), Agentic AI Question: Will AutoML replace data scientists? Regulation and governance...</t>
        </is>
      </c>
    </row>
    <row r="52" ht="39.6" customHeight="1" s="21">
      <c r="A52" s="10" t="n">
        <v>3</v>
      </c>
      <c r="B52" s="11" t="inlineStr">
        <is>
          <t>hybrid</t>
        </is>
      </c>
      <c r="C52" s="10" t="n">
        <v>1</v>
      </c>
      <c r="D52" s="10" t="inlineStr">
        <is>
          <t>No</t>
        </is>
      </c>
      <c r="E52" s="11" t="inlineStr">
        <is>
          <t>Business Analytics Overview.pptx</t>
        </is>
      </c>
      <c r="F52" s="11" t="inlineStr">
        <is>
          <t>slide 9</t>
        </is>
      </c>
      <c r="G52" s="18" t="n">
        <v>0.0314980149269104</v>
      </c>
      <c r="H52" s="18" t="n"/>
      <c r="I52" s="11" t="inlineStr">
        <is>
          <t>Key Trends UNC Charlotte, Spring 2026 Automation Automated data science: DataRobot and H2O.ai, Code Assistants (GitHub Copilot, Cursor), Agentic AI Question: Will AutoML replace data scientists? Regulation and governance...</t>
        </is>
      </c>
    </row>
    <row r="53" ht="132" customHeight="1" s="21">
      <c r="A53" s="10" t="n">
        <v>3</v>
      </c>
      <c r="B53" s="11" t="inlineStr">
        <is>
          <t>hybrid</t>
        </is>
      </c>
      <c r="C53" s="10" t="n">
        <v>2</v>
      </c>
      <c r="D53" s="10" t="inlineStr">
        <is>
          <t>No</t>
        </is>
      </c>
      <c r="E53" s="11" t="inlineStr">
        <is>
          <t>Business_Analytics_Textbook_Cengage_pg_1_300.pdf</t>
        </is>
      </c>
      <c r="F53" s="11" t="inlineStr">
        <is>
          <t>page 226</t>
        </is>
      </c>
      <c r="G53" s="18" t="n">
        <v>0.02829820290207863</v>
      </c>
      <c r="H53" s="18" t="n"/>
      <c r="I53" s="11" t="inlineStr">
        <is>
          <t>200 chapter 4 Probability: An Introduction to Modeling Uncertainty P R o B l E m S 1. Airline Performance Measures. On-time arrivals, lost baggage, and customer com- plaints are three measures that are typically used to...</t>
        </is>
      </c>
    </row>
    <row r="54" ht="118.8" customHeight="1" s="21">
      <c r="A54" s="10" t="n">
        <v>3</v>
      </c>
      <c r="B54" s="11" t="inlineStr">
        <is>
          <t>hybrid</t>
        </is>
      </c>
      <c r="C54" s="10" t="n">
        <v>3</v>
      </c>
      <c r="D54" s="10" t="inlineStr">
        <is>
          <t>No</t>
        </is>
      </c>
      <c r="E54" s="11" t="inlineStr">
        <is>
          <t>Business_Analytics_Textbook_Cengage_pg_1_300.pdf</t>
        </is>
      </c>
      <c r="F54" s="11" t="inlineStr">
        <is>
          <t>page 227</t>
        </is>
      </c>
      <c r="G54" s="18" t="n">
        <v>0.02727105095982552</v>
      </c>
      <c r="H54" s="18" t="n"/>
      <c r="I54" s="11" t="inlineStr">
        <is>
          <t>degree, what is the probability that the student has a delinquent loan? d. Given that the student has not received a college degree, what is the probability that the student has a delinquent loan? e. What is the impact o...</t>
        </is>
      </c>
    </row>
    <row r="55" ht="52.8" customHeight="1" s="21">
      <c r="A55" s="10" t="n">
        <v>3</v>
      </c>
      <c r="B55" s="11" t="inlineStr">
        <is>
          <t>hybrid</t>
        </is>
      </c>
      <c r="C55" s="10" t="n">
        <v>4</v>
      </c>
      <c r="D55" s="10" t="inlineStr">
        <is>
          <t>Yes</t>
        </is>
      </c>
      <c r="E55" s="11" t="inlineStr">
        <is>
          <t>Business Analytics Overview.pptx</t>
        </is>
      </c>
      <c r="F55" s="11" t="inlineStr">
        <is>
          <t>slide 8</t>
        </is>
      </c>
      <c r="G55" s="18" t="n">
        <v>0.02441860549151897</v>
      </c>
      <c r="H55" s="18" t="n"/>
      <c r="I55" s="11" t="inlineStr">
        <is>
          <t>Investments in Analytics UNC Charlotte, Spring 2026 Avoid analytics project pitfalls The failure rate for analytics project: over 80% Data issues Solving the wrong problem  Ask the questions Model too complex  Keep it...</t>
        </is>
      </c>
    </row>
    <row r="56" ht="158.4" customHeight="1" s="21">
      <c r="A56" s="10" t="n">
        <v>3</v>
      </c>
      <c r="B56" s="11" t="inlineStr">
        <is>
          <t>hybrid</t>
        </is>
      </c>
      <c r="C56" s="10" t="n">
        <v>5</v>
      </c>
      <c r="D56" s="10" t="inlineStr">
        <is>
          <t>No</t>
        </is>
      </c>
      <c r="E56" s="11" t="inlineStr">
        <is>
          <t>Business_Analytics_Textbook_Cengage_pg_1_300.pdf</t>
        </is>
      </c>
      <c r="F56" s="11" t="inlineStr">
        <is>
          <t>page 106</t>
        </is>
      </c>
      <c r="G56" s="18" t="n">
        <v>0.02151616476476192</v>
      </c>
      <c r="H56" s="18" t="n"/>
      <c r="I56" s="11" t="inlineStr">
        <is>
          <t>to increase, there would also be an increase in the percentage of delinquent loans. The following data show the jobless rate and the delinquent loan percentage for 27 major real estate markets. a. Compute the correlation...</t>
        </is>
      </c>
    </row>
    <row r="57" ht="158.4" customHeight="1" s="21">
      <c r="A57" s="10" t="n">
        <v>3</v>
      </c>
      <c r="B57" s="11" t="inlineStr">
        <is>
          <t>hybrid_semantic</t>
        </is>
      </c>
      <c r="C57" s="10" t="n">
        <v>1</v>
      </c>
      <c r="D57" s="10" t="inlineStr">
        <is>
          <t>No</t>
        </is>
      </c>
      <c r="E57" s="11" t="inlineStr">
        <is>
          <t>Business_Analytics_Textbook_Cengage_pg_1_300.pdf</t>
        </is>
      </c>
      <c r="F57" s="11" t="inlineStr">
        <is>
          <t>page 34</t>
        </is>
      </c>
      <c r="G57" s="18" t="n">
        <v>0.01491048000752926</v>
      </c>
      <c r="H57" s="18" t="n">
        <v>1.79795253276825</v>
      </c>
      <c r="I57" s="11" t="inlineStr">
        <is>
          <t>or ser- vices on social media platforms such as Twitter. Audio data are collected from service calls (on a service call, you will often hear “this call may be monitored for quality control”). Video data collected by in-s...</t>
        </is>
      </c>
    </row>
    <row r="58" ht="132" customHeight="1" s="21">
      <c r="A58" s="10" t="n">
        <v>3</v>
      </c>
      <c r="B58" s="11" t="inlineStr">
        <is>
          <t>hybrid_semantic</t>
        </is>
      </c>
      <c r="C58" s="10" t="n">
        <v>2</v>
      </c>
      <c r="D58" s="10" t="inlineStr">
        <is>
          <t>No</t>
        </is>
      </c>
      <c r="E58" s="11" t="inlineStr">
        <is>
          <t>Business_Analytics_Textbook_Cengage_pg_1_300.pdf</t>
        </is>
      </c>
      <c r="F58" s="11" t="inlineStr">
        <is>
          <t>page 35</t>
        </is>
      </c>
      <c r="G58" s="18" t="n">
        <v>0.0180890541523695</v>
      </c>
      <c r="H58" s="18" t="n">
        <v>1.783419370651245</v>
      </c>
      <c r="I58" s="11" t="inlineStr">
        <is>
          <t>1.4 Big Data 9 a data breach is $3.86 million.6 Companies such as Target, Anthem, JPMorgan Chase, Yahoo!, Facebook, Marriott, Equifax, and Home Depot have faced major data breaches cost- ing millions of dollars. The comp...</t>
        </is>
      </c>
    </row>
    <row r="59" ht="52.8" customHeight="1" s="21">
      <c r="A59" s="10" t="n">
        <v>3</v>
      </c>
      <c r="B59" s="11" t="inlineStr">
        <is>
          <t>hybrid_semantic</t>
        </is>
      </c>
      <c r="C59" s="10" t="n">
        <v>3</v>
      </c>
      <c r="D59" s="10" t="inlineStr">
        <is>
          <t>Yes</t>
        </is>
      </c>
      <c r="E59" s="11" t="inlineStr">
        <is>
          <t>Business Analytics Overview.pptx</t>
        </is>
      </c>
      <c r="F59" s="11" t="inlineStr">
        <is>
          <t>slide 8</t>
        </is>
      </c>
      <c r="G59" s="18" t="n">
        <v>0.02441860549151897</v>
      </c>
      <c r="H59" s="18" t="n">
        <v>1.622490406036377</v>
      </c>
      <c r="I59" s="11" t="inlineStr">
        <is>
          <t>Investments in Analytics UNC Charlotte, Spring 2026 Avoid analytics project pitfalls The failure rate for analytics project: over 80% Data issues Solving the wrong problem  Ask the questions Model too complex  Keep it...</t>
        </is>
      </c>
    </row>
    <row r="60" ht="39.6" customHeight="1" s="21">
      <c r="A60" s="10" t="n">
        <v>3</v>
      </c>
      <c r="B60" s="11" t="inlineStr">
        <is>
          <t>hybrid_semantic</t>
        </is>
      </c>
      <c r="C60" s="10" t="n">
        <v>4</v>
      </c>
      <c r="D60" s="10" t="inlineStr">
        <is>
          <t>No</t>
        </is>
      </c>
      <c r="E60" s="11" t="inlineStr">
        <is>
          <t>Business Analytics Overview.pptx</t>
        </is>
      </c>
      <c r="F60" s="11" t="inlineStr">
        <is>
          <t>slide 9</t>
        </is>
      </c>
      <c r="G60" s="18" t="n">
        <v>0.0314980149269104</v>
      </c>
      <c r="H60" s="18" t="n">
        <v>1.615755438804626</v>
      </c>
      <c r="I60" s="11" t="inlineStr">
        <is>
          <t>Key Trends UNC Charlotte, Spring 2026 Automation Automated data science: DataRobot and H2O.ai, Code Assistants (GitHub Copilot, Cursor), Agentic AI Question: Will AutoML replace data scientists? Regulation and governance...</t>
        </is>
      </c>
    </row>
    <row r="61" ht="145.2" customHeight="1" s="21">
      <c r="A61" s="10" t="n">
        <v>3</v>
      </c>
      <c r="B61" s="11" t="inlineStr">
        <is>
          <t>hybrid_semantic</t>
        </is>
      </c>
      <c r="C61" s="10" t="n">
        <v>5</v>
      </c>
      <c r="D61" s="10" t="inlineStr">
        <is>
          <t>No</t>
        </is>
      </c>
      <c r="E61" s="11" t="inlineStr">
        <is>
          <t>Business_Analytics_Textbook_Cengage_pg_1_300.pdf</t>
        </is>
      </c>
      <c r="F61" s="11" t="inlineStr">
        <is>
          <t>page 43</t>
        </is>
      </c>
      <c r="G61" s="18" t="n">
        <v>0.01351351384073496</v>
      </c>
      <c r="H61" s="18" t="n">
        <v>1.537063241004944</v>
      </c>
      <c r="I61" s="11" t="inlineStr">
        <is>
          <t>Glossary 17 Data scientists Analysts trained in both computer science and statistics who know how to effectively process and analyze massive amounts of data. Data security Protecting stored data from destructive forces o...</t>
        </is>
      </c>
    </row>
    <row r="62" ht="158.4" customHeight="1" s="21">
      <c r="A62" s="10" t="n">
        <v>4</v>
      </c>
      <c r="B62" s="11" t="inlineStr">
        <is>
          <t>keyword</t>
        </is>
      </c>
      <c r="C62" s="10" t="n">
        <v>1</v>
      </c>
      <c r="D62" s="10" t="inlineStr">
        <is>
          <t>Yes</t>
        </is>
      </c>
      <c r="E62" s="11" t="inlineStr">
        <is>
          <t>Business_Analytics_Textbook_Cengage_pg_1_300.pdf</t>
        </is>
      </c>
      <c r="F62" s="11" t="inlineStr">
        <is>
          <t>page 114</t>
        </is>
      </c>
      <c r="G62" s="18" t="n">
        <v>14.415925</v>
      </c>
      <c r="H62" s="18" t="n"/>
      <c r="I62" s="11" t="inlineStr">
        <is>
          <t>for tables and charts created with Excel can be altered to increase clarity. New types of software that are dedicated to data visualization have appeared recently. We focus our techniques on Excel in this chapter, but we...</t>
        </is>
      </c>
    </row>
    <row r="63" ht="118.8" customHeight="1" s="21">
      <c r="A63" s="10" t="n">
        <v>4</v>
      </c>
      <c r="B63" s="11" t="inlineStr">
        <is>
          <t>keyword</t>
        </is>
      </c>
      <c r="C63" s="10" t="n">
        <v>2</v>
      </c>
      <c r="D63" s="10" t="inlineStr">
        <is>
          <t>Yes</t>
        </is>
      </c>
      <c r="E63" s="11" t="inlineStr">
        <is>
          <t>Business_Analytics_Textbook_Cengage_pg_1_300.pdf</t>
        </is>
      </c>
      <c r="F63" s="11" t="inlineStr">
        <is>
          <t>page 154</t>
        </is>
      </c>
      <c r="G63" s="18" t="n">
        <v>13.986606</v>
      </c>
      <c r="H63" s="18" t="n"/>
      <c r="I63" s="11" t="inlineStr">
        <is>
          <t>variable. Crosstabulation A tabular summary of data for two variables. The classes of one variable are represented by the rows; the classes for the other variable are represented by the columns. Data dashboard A data-vis...</t>
        </is>
      </c>
    </row>
    <row r="64" ht="132" customHeight="1" s="21">
      <c r="A64" s="10" t="n">
        <v>4</v>
      </c>
      <c r="B64" s="11" t="inlineStr">
        <is>
          <t>keyword</t>
        </is>
      </c>
      <c r="C64" s="10" t="n">
        <v>3</v>
      </c>
      <c r="D64" s="10" t="inlineStr">
        <is>
          <t>Yes</t>
        </is>
      </c>
      <c r="E64" s="11" t="inlineStr">
        <is>
          <t>Business_Analytics_Textbook_Cengage_pg_1_300.pdf</t>
        </is>
      </c>
      <c r="F64" s="11" t="inlineStr">
        <is>
          <t>page 115</t>
        </is>
      </c>
      <c r="G64" s="18" t="n">
        <v>12.198589</v>
      </c>
      <c r="H64" s="18" t="n"/>
      <c r="I64" s="11" t="inlineStr">
        <is>
          <t>3.1 o verview of Data Visualization 89 Table 3.2 shows a modified table in which all grid lines have been deleted except for those around the title of the table. Deleting the grid lines in Table 3.1 increases the data-in...</t>
        </is>
      </c>
    </row>
    <row r="65" ht="132" customHeight="1" s="21">
      <c r="A65" s="10" t="n">
        <v>4</v>
      </c>
      <c r="B65" s="11" t="inlineStr">
        <is>
          <t>keyword</t>
        </is>
      </c>
      <c r="C65" s="10" t="n">
        <v>4</v>
      </c>
      <c r="D65" s="10" t="inlineStr">
        <is>
          <t>Yes</t>
        </is>
      </c>
      <c r="E65" s="11" t="inlineStr">
        <is>
          <t>Business_Analytics_Textbook_Cengage_pg_1_300.pdf</t>
        </is>
      </c>
      <c r="F65" s="11" t="inlineStr">
        <is>
          <t>page 118</t>
        </is>
      </c>
      <c r="G65" s="18" t="n">
        <v>10.537022</v>
      </c>
      <c r="H65" s="18" t="n"/>
      <c r="I65" s="11" t="inlineStr">
        <is>
          <t>vertical axes, this is generally not recommended. Because the values have widely different magnitudes (costs and revenues are in the tens of thousands, whereas head count is approx- imately 10 each month), it would be di...</t>
        </is>
      </c>
    </row>
    <row r="66" ht="132" customHeight="1" s="21">
      <c r="A66" s="10" t="n">
        <v>4</v>
      </c>
      <c r="B66" s="11" t="inlineStr">
        <is>
          <t>keyword</t>
        </is>
      </c>
      <c r="C66" s="10" t="n">
        <v>5</v>
      </c>
      <c r="D66" s="10" t="inlineStr">
        <is>
          <t>Yes</t>
        </is>
      </c>
      <c r="E66" s="11" t="inlineStr">
        <is>
          <t>Business_Analytics_Textbook_Cengage_pg_1_300.pdf</t>
        </is>
      </c>
      <c r="F66" s="11" t="inlineStr">
        <is>
          <t>page 115</t>
        </is>
      </c>
      <c r="G66" s="18" t="n">
        <v>10.25551</v>
      </c>
      <c r="H66" s="18" t="n"/>
      <c r="I66" s="11" t="inlineStr">
        <is>
          <t>and Figure 3.4. Removing the unnecessary lines has increased the “white space,” making it easier to read both the table and the chart. The fundamental idea in creating effective tables and charts is to make them as simpl...</t>
        </is>
      </c>
    </row>
    <row r="67" ht="79.2" customHeight="1" s="21">
      <c r="A67" s="10" t="n">
        <v>4</v>
      </c>
      <c r="B67" s="11" t="inlineStr">
        <is>
          <t>vector</t>
        </is>
      </c>
      <c r="C67" s="10" t="n">
        <v>1</v>
      </c>
      <c r="D67" s="10" t="inlineStr">
        <is>
          <t>Yes</t>
        </is>
      </c>
      <c r="E67" s="11" t="inlineStr">
        <is>
          <t>Business_Analytics_Textbook_Cengage_pg_1_300.pdf</t>
        </is>
      </c>
      <c r="F67" s="11" t="inlineStr">
        <is>
          <t>page 133</t>
        </is>
      </c>
      <c r="G67" s="18" t="n">
        <v>0.7804094</v>
      </c>
      <c r="H67" s="18" t="n"/>
      <c r="I67" s="11" t="inlineStr">
        <is>
          <t>Bars KirklandRegional Because the gridlines do not add any meaningful information here, we do not select the check box for Gridlines in Chart Elements, as it increases the data-ink ratio. Copyright 2021 Cengage Learning....</t>
        </is>
      </c>
    </row>
    <row r="68" ht="158.4" customHeight="1" s="21">
      <c r="A68" s="10" t="n">
        <v>4</v>
      </c>
      <c r="B68" s="11" t="inlineStr">
        <is>
          <t>vector</t>
        </is>
      </c>
      <c r="C68" s="10" t="n">
        <v>2</v>
      </c>
      <c r="D68" s="10" t="inlineStr">
        <is>
          <t>Yes</t>
        </is>
      </c>
      <c r="E68" s="11" t="inlineStr">
        <is>
          <t>Business_Analytics_Textbook_Cengage_pg_1_300.pdf</t>
        </is>
      </c>
      <c r="F68" s="11" t="inlineStr">
        <is>
          <t>page 114</t>
        </is>
      </c>
      <c r="G68" s="18" t="n">
        <v>0.76747084</v>
      </c>
      <c r="H68" s="18" t="n"/>
      <c r="I68" s="11" t="inlineStr">
        <is>
          <t>for tables and charts created with Excel can be altered to increase clarity. New types of software that are dedicated to data visualization have appeared recently. We focus our techniques on Excel in this chapter, but we...</t>
        </is>
      </c>
    </row>
    <row r="69" ht="118.8" customHeight="1" s="21">
      <c r="A69" s="10" t="n">
        <v>4</v>
      </c>
      <c r="B69" s="11" t="inlineStr">
        <is>
          <t>vector</t>
        </is>
      </c>
      <c r="C69" s="10" t="n">
        <v>3</v>
      </c>
      <c r="D69" s="10" t="inlineStr">
        <is>
          <t>Yes</t>
        </is>
      </c>
      <c r="E69" s="11" t="inlineStr">
        <is>
          <t>Business_Analytics_Textbook_Cengage_pg_1_300.pdf</t>
        </is>
      </c>
      <c r="F69" s="11" t="inlineStr">
        <is>
          <t>page 154</t>
        </is>
      </c>
      <c r="G69" s="18" t="n">
        <v>0.76189756</v>
      </c>
      <c r="H69" s="18" t="n"/>
      <c r="I69" s="11" t="inlineStr">
        <is>
          <t>variable. Crosstabulation A tabular summary of data for two variables. The classes of one variable are represented by the rows; the classes for the other variable are represented by the columns. Data dashboard A data-vis...</t>
        </is>
      </c>
    </row>
    <row r="70" ht="132" customHeight="1" s="21">
      <c r="A70" s="10" t="n">
        <v>4</v>
      </c>
      <c r="B70" s="11" t="inlineStr">
        <is>
          <t>vector</t>
        </is>
      </c>
      <c r="C70" s="10" t="n">
        <v>4</v>
      </c>
      <c r="D70" s="10" t="inlineStr">
        <is>
          <t>Yes</t>
        </is>
      </c>
      <c r="E70" s="11" t="inlineStr">
        <is>
          <t>Business_Analytics_Textbook_Cengage_pg_1_300.pdf</t>
        </is>
      </c>
      <c r="F70" s="11" t="inlineStr">
        <is>
          <t>page 115</t>
        </is>
      </c>
      <c r="G70" s="18" t="n">
        <v>0.73659295</v>
      </c>
      <c r="H70" s="18" t="n"/>
      <c r="I70" s="11" t="inlineStr">
        <is>
          <t>and Figure 3.4. Removing the unnecessary lines has increased the “white space,” making it easier to read both the table and the chart. The fundamental idea in creating effective tables and charts is to make them as simpl...</t>
        </is>
      </c>
    </row>
    <row r="71" ht="132" customHeight="1" s="21">
      <c r="A71" s="10" t="n">
        <v>4</v>
      </c>
      <c r="B71" s="11" t="inlineStr">
        <is>
          <t>vector</t>
        </is>
      </c>
      <c r="C71" s="10" t="n">
        <v>5</v>
      </c>
      <c r="D71" s="10" t="inlineStr">
        <is>
          <t>Yes</t>
        </is>
      </c>
      <c r="E71" s="11" t="inlineStr">
        <is>
          <t>Business_Analytics_Textbook_Cengage_pg_1_300.pdf</t>
        </is>
      </c>
      <c r="F71" s="11" t="inlineStr">
        <is>
          <t>page 115</t>
        </is>
      </c>
      <c r="G71" s="18" t="n">
        <v>0.7365284</v>
      </c>
      <c r="H71" s="18" t="n"/>
      <c r="I71" s="11" t="inlineStr">
        <is>
          <t>3.1 o verview of Data Visualization 89 Table 3.2 shows a modified table in which all grid lines have been deleted except for those around the title of the table. Deleting the grid lines in Table 3.1 increases the data-in...</t>
        </is>
      </c>
    </row>
    <row r="72" ht="158.4" customHeight="1" s="21">
      <c r="A72" s="10" t="n">
        <v>4</v>
      </c>
      <c r="B72" s="11" t="inlineStr">
        <is>
          <t>hybrid</t>
        </is>
      </c>
      <c r="C72" s="10" t="n">
        <v>1</v>
      </c>
      <c r="D72" s="10" t="inlineStr">
        <is>
          <t>Yes</t>
        </is>
      </c>
      <c r="E72" s="11" t="inlineStr">
        <is>
          <t>Business_Analytics_Textbook_Cengage_pg_1_300.pdf</t>
        </is>
      </c>
      <c r="F72" s="11" t="inlineStr">
        <is>
          <t>page 114</t>
        </is>
      </c>
      <c r="G72" s="18" t="n">
        <v>0.03306011110544205</v>
      </c>
      <c r="H72" s="18" t="n"/>
      <c r="I72" s="11" t="inlineStr">
        <is>
          <t>for tables and charts created with Excel can be altered to increase clarity. New types of software that are dedicated to data visualization have appeared recently. We focus our techniques on Excel in this chapter, but we...</t>
        </is>
      </c>
    </row>
    <row r="73" ht="118.8" customHeight="1" s="21">
      <c r="A73" s="10" t="n">
        <v>4</v>
      </c>
      <c r="B73" s="11" t="inlineStr">
        <is>
          <t>hybrid</t>
        </is>
      </c>
      <c r="C73" s="10" t="n">
        <v>2</v>
      </c>
      <c r="D73" s="10" t="inlineStr">
        <is>
          <t>Yes</t>
        </is>
      </c>
      <c r="E73" s="11" t="inlineStr">
        <is>
          <t>Business_Analytics_Textbook_Cengage_pg_1_300.pdf</t>
        </is>
      </c>
      <c r="F73" s="11" t="inlineStr">
        <is>
          <t>page 154</t>
        </is>
      </c>
      <c r="G73" s="18" t="n">
        <v>0.03252247348427773</v>
      </c>
      <c r="H73" s="18" t="n"/>
      <c r="I73" s="11" t="inlineStr">
        <is>
          <t>variable. Crosstabulation A tabular summary of data for two variables. The classes of one variable are represented by the rows; the classes for the other variable are represented by the columns. Data dashboard A data-vis...</t>
        </is>
      </c>
    </row>
    <row r="74" ht="79.2" customHeight="1" s="21">
      <c r="A74" s="10" t="n">
        <v>4</v>
      </c>
      <c r="B74" s="11" t="inlineStr">
        <is>
          <t>hybrid</t>
        </is>
      </c>
      <c r="C74" s="10" t="n">
        <v>3</v>
      </c>
      <c r="D74" s="10" t="inlineStr">
        <is>
          <t>Yes</t>
        </is>
      </c>
      <c r="E74" s="11" t="inlineStr">
        <is>
          <t>Business_Analytics_Textbook_Cengage_pg_1_300.pdf</t>
        </is>
      </c>
      <c r="F74" s="11" t="inlineStr">
        <is>
          <t>page 133</t>
        </is>
      </c>
      <c r="G74" s="18" t="n">
        <v>0.03181818127632141</v>
      </c>
      <c r="H74" s="18" t="n"/>
      <c r="I74" s="11" t="inlineStr">
        <is>
          <t>Bars KirklandRegional Because the gridlines do not add any meaningful information here, we do not select the check box for Gridlines in Chart Elements, as it increases the data-ink ratio. Copyright 2021 Cengage Learning....</t>
        </is>
      </c>
    </row>
    <row r="75" ht="132" customHeight="1" s="21">
      <c r="A75" s="10" t="n">
        <v>4</v>
      </c>
      <c r="B75" s="11" t="inlineStr">
        <is>
          <t>hybrid</t>
        </is>
      </c>
      <c r="C75" s="10" t="n">
        <v>4</v>
      </c>
      <c r="D75" s="10" t="inlineStr">
        <is>
          <t>Yes</t>
        </is>
      </c>
      <c r="E75" s="11" t="inlineStr">
        <is>
          <t>Business_Analytics_Textbook_Cengage_pg_1_300.pdf</t>
        </is>
      </c>
      <c r="F75" s="11" t="inlineStr">
        <is>
          <t>page 115</t>
        </is>
      </c>
      <c r="G75" s="18" t="n">
        <v>0.0317540317773819</v>
      </c>
      <c r="H75" s="18" t="n"/>
      <c r="I75" s="11" t="inlineStr">
        <is>
          <t>3.1 o verview of Data Visualization 89 Table 3.2 shows a modified table in which all grid lines have been deleted except for those around the title of the table. Deleting the grid lines in Table 3.1 increases the data-in...</t>
        </is>
      </c>
    </row>
    <row r="76" ht="132" customHeight="1" s="21">
      <c r="A76" s="10" t="n">
        <v>4</v>
      </c>
      <c r="B76" s="11" t="inlineStr">
        <is>
          <t>hybrid</t>
        </is>
      </c>
      <c r="C76" s="10" t="n">
        <v>5</v>
      </c>
      <c r="D76" s="10" t="inlineStr">
        <is>
          <t>Yes</t>
        </is>
      </c>
      <c r="E76" s="11" t="inlineStr">
        <is>
          <t>Business_Analytics_Textbook_Cengage_pg_1_300.pdf</t>
        </is>
      </c>
      <c r="F76" s="11" t="inlineStr">
        <is>
          <t>page 115</t>
        </is>
      </c>
      <c r="G76" s="18" t="n">
        <v>0.0314980149269104</v>
      </c>
      <c r="H76" s="18" t="n"/>
      <c r="I76" s="11" t="inlineStr">
        <is>
          <t>and Figure 3.4. Removing the unnecessary lines has increased the “white space,” making it easier to read both the table and the chart. The fundamental idea in creating effective tables and charts is to make them as simpl...</t>
        </is>
      </c>
    </row>
    <row r="77" ht="158.4" customHeight="1" s="21">
      <c r="A77" s="10" t="n">
        <v>4</v>
      </c>
      <c r="B77" s="11" t="inlineStr">
        <is>
          <t>hybrid_semantic</t>
        </is>
      </c>
      <c r="C77" s="10" t="n">
        <v>1</v>
      </c>
      <c r="D77" s="10" t="inlineStr">
        <is>
          <t>Yes</t>
        </is>
      </c>
      <c r="E77" s="11" t="inlineStr">
        <is>
          <t>Business_Analytics_Textbook_Cengage_pg_1_300.pdf</t>
        </is>
      </c>
      <c r="F77" s="11" t="inlineStr">
        <is>
          <t>page 114</t>
        </is>
      </c>
      <c r="G77" s="18" t="n">
        <v>0.03306011110544205</v>
      </c>
      <c r="H77" s="18" t="n">
        <v>3.290976524353027</v>
      </c>
      <c r="I77" s="11" t="inlineStr">
        <is>
          <t>for tables and charts created with Excel can be altered to increase clarity. New types of software that are dedicated to data visualization have appeared recently. We focus our techniques on Excel in this chapter, but we...</t>
        </is>
      </c>
    </row>
    <row r="78" ht="118.8" customHeight="1" s="21">
      <c r="A78" s="10" t="n">
        <v>4</v>
      </c>
      <c r="B78" s="11" t="inlineStr">
        <is>
          <t>hybrid_semantic</t>
        </is>
      </c>
      <c r="C78" s="10" t="n">
        <v>2</v>
      </c>
      <c r="D78" s="10" t="inlineStr">
        <is>
          <t>Yes</t>
        </is>
      </c>
      <c r="E78" s="11" t="inlineStr">
        <is>
          <t>Business_Analytics_Textbook_Cengage_pg_1_300.pdf</t>
        </is>
      </c>
      <c r="F78" s="11" t="inlineStr">
        <is>
          <t>page 154</t>
        </is>
      </c>
      <c r="G78" s="18" t="n">
        <v>0.03252247348427773</v>
      </c>
      <c r="H78" s="18" t="n">
        <v>3.164076566696167</v>
      </c>
      <c r="I78" s="11" t="inlineStr">
        <is>
          <t>variable. Crosstabulation A tabular summary of data for two variables. The classes of one variable are represented by the rows; the classes for the other variable are represented by the columns. Data dashboard A data-vis...</t>
        </is>
      </c>
    </row>
    <row r="79" ht="132" customHeight="1" s="21">
      <c r="A79" s="10" t="n">
        <v>4</v>
      </c>
      <c r="B79" s="11" t="inlineStr">
        <is>
          <t>hybrid_semantic</t>
        </is>
      </c>
      <c r="C79" s="10" t="n">
        <v>3</v>
      </c>
      <c r="D79" s="10" t="inlineStr">
        <is>
          <t>Yes</t>
        </is>
      </c>
      <c r="E79" s="11" t="inlineStr">
        <is>
          <t>Business_Analytics_Textbook_Cengage_pg_1_300.pdf</t>
        </is>
      </c>
      <c r="F79" s="11" t="inlineStr">
        <is>
          <t>page 115</t>
        </is>
      </c>
      <c r="G79" s="18" t="n">
        <v>0.0317540317773819</v>
      </c>
      <c r="H79" s="18" t="n">
        <v>2.663211822509766</v>
      </c>
      <c r="I79" s="11" t="inlineStr">
        <is>
          <t>3.1 o verview of Data Visualization 89 Table 3.2 shows a modified table in which all grid lines have been deleted except for those around the title of the table. Deleting the grid lines in Table 3.1 increases the data-in...</t>
        </is>
      </c>
    </row>
    <row r="80" ht="132" customHeight="1" s="21">
      <c r="A80" s="10" t="n">
        <v>4</v>
      </c>
      <c r="B80" s="11" t="inlineStr">
        <is>
          <t>hybrid_semantic</t>
        </is>
      </c>
      <c r="C80" s="10" t="n">
        <v>4</v>
      </c>
      <c r="D80" s="10" t="inlineStr">
        <is>
          <t>Yes</t>
        </is>
      </c>
      <c r="E80" s="11" t="inlineStr">
        <is>
          <t>Business_Analytics_Textbook_Cengage_pg_1_300.pdf</t>
        </is>
      </c>
      <c r="F80" s="11" t="inlineStr">
        <is>
          <t>page 115</t>
        </is>
      </c>
      <c r="G80" s="18" t="n">
        <v>0.0314980149269104</v>
      </c>
      <c r="H80" s="18" t="n">
        <v>2.45655632019043</v>
      </c>
      <c r="I80" s="11" t="inlineStr">
        <is>
          <t>and Figure 3.4. Removing the unnecessary lines has increased the “white space,” making it easier to read both the table and the chart. The fundamental idea in creating effective tables and charts is to make them as simpl...</t>
        </is>
      </c>
    </row>
    <row r="81" ht="92.40000000000001" customHeight="1" s="21">
      <c r="A81" s="10" t="n">
        <v>4</v>
      </c>
      <c r="B81" s="11" t="inlineStr">
        <is>
          <t>hybrid_semantic</t>
        </is>
      </c>
      <c r="C81" s="10" t="n">
        <v>5</v>
      </c>
      <c r="D81" s="10" t="inlineStr">
        <is>
          <t>Yes</t>
        </is>
      </c>
      <c r="E81" s="11" t="inlineStr">
        <is>
          <t>Business_Analytics_Textbook_Cengage_pg_1_300.pdf</t>
        </is>
      </c>
      <c r="F81" s="11" t="inlineStr">
        <is>
          <t>page 116</t>
        </is>
      </c>
      <c r="G81" s="18" t="n">
        <v>0.02881426177918911</v>
      </c>
      <c r="H81" s="18" t="n">
        <v>2.410120725631714</v>
      </c>
      <c r="I81" s="11" t="inlineStr">
        <is>
          <t>Sales Sales (Units) Day 3 5 7 9 11 13 15 17 19 90 chapter 3 Data Visualization Scarf Sales Day Sales (units) Day Sales (units) 1 150 11 170 2 170 12 160 3 140 13 290 4 150 14 200 5 180 15 210 6 180 16 110 7 210 17 90 8 2...</t>
        </is>
      </c>
    </row>
    <row r="82" ht="158.4" customHeight="1" s="21">
      <c r="A82" s="10" t="n">
        <v>5</v>
      </c>
      <c r="B82" s="11" t="inlineStr">
        <is>
          <t>keyword</t>
        </is>
      </c>
      <c r="C82" s="10" t="n">
        <v>1</v>
      </c>
      <c r="D82" s="10" t="inlineStr">
        <is>
          <t>No</t>
        </is>
      </c>
      <c r="E82" s="11" t="inlineStr">
        <is>
          <t>Business analytics - Wikipedia</t>
        </is>
      </c>
      <c r="F82" s="11" t="n"/>
      <c r="G82" s="18" t="n">
        <v>38.83243</v>
      </c>
      <c r="H82" s="18" t="n"/>
      <c r="I82" s="11" t="inlineStr">
        <is>
          <t>analytics focusses on prediction and prescription. [ 1 ] Business analytics makes extensive use of analytical modeling and numerical analysis, including explanatory and predictive modeling , [ 2 ] and fact-based manageme...</t>
        </is>
      </c>
    </row>
    <row r="83" ht="158.4" customHeight="1" s="21">
      <c r="A83" s="10" t="n">
        <v>5</v>
      </c>
      <c r="B83" s="11" t="inlineStr">
        <is>
          <t>keyword</t>
        </is>
      </c>
      <c r="C83" s="10" t="n">
        <v>2</v>
      </c>
      <c r="D83" s="10" t="inlineStr">
        <is>
          <t>Yes</t>
        </is>
      </c>
      <c r="E83" s="11" t="inlineStr">
        <is>
          <t>Business analytics - Wikipedia</t>
        </is>
      </c>
      <c r="F83" s="11" t="n"/>
      <c r="G83" s="18" t="n">
        <v>36.562355</v>
      </c>
      <c r="H83" s="18" t="n"/>
      <c r="I83" s="11" t="inlineStr">
        <is>
          <t>the patient's latest key indicators, historical trends and reference values. [ 4 ] Decision analytics: supports human decisions with visual analytics that the user models to reflect reasoning. [ 5 ] Descriptive analytics...</t>
        </is>
      </c>
    </row>
    <row r="84" ht="145.2" customHeight="1" s="21">
      <c r="A84" s="10" t="n">
        <v>5</v>
      </c>
      <c r="B84" s="11" t="inlineStr">
        <is>
          <t>keyword</t>
        </is>
      </c>
      <c r="C84" s="10" t="n">
        <v>3</v>
      </c>
      <c r="D84" s="10" t="inlineStr">
        <is>
          <t>No</t>
        </is>
      </c>
      <c r="E84" s="11" t="inlineStr">
        <is>
          <t>Business analytics - Wikipedia</t>
        </is>
      </c>
      <c r="F84" s="11" t="n"/>
      <c r="G84" s="18" t="n">
        <v>35.43413</v>
      </c>
      <c r="H84" s="18" t="n"/>
      <c r="I84" s="11" t="inlineStr">
        <is>
          <t>have been used in business since management exercises were put into place by Frederick Winslow Taylor in the late 19th century. Henry Ford measured the time of each component in his newly established assembly line. Howev...</t>
        </is>
      </c>
    </row>
    <row r="85" ht="145.2" customHeight="1" s="21">
      <c r="A85" s="10" t="n">
        <v>5</v>
      </c>
      <c r="B85" s="11" t="inlineStr">
        <is>
          <t>keyword</t>
        </is>
      </c>
      <c r="C85" s="10" t="n">
        <v>4</v>
      </c>
      <c r="D85" s="10" t="inlineStr">
        <is>
          <t>No</t>
        </is>
      </c>
      <c r="E85" s="11" t="inlineStr">
        <is>
          <t>Business analytics - Wikipedia</t>
        </is>
      </c>
      <c r="F85" s="11" t="n"/>
      <c r="G85" s="18" t="n">
        <v>35.375786</v>
      </c>
      <c r="H85" s="18" t="n"/>
      <c r="I85" s="11" t="inlineStr">
        <is>
          <t>From Wikipedia, the free encyclopedia Not to be confused with Business analysis . Concept in business analytics This article needs more citations . Please help improve this article by adding citations to reliable sources...</t>
        </is>
      </c>
    </row>
    <row r="86" ht="158.4" customHeight="1" s="21">
      <c r="A86" s="10" t="n">
        <v>5</v>
      </c>
      <c r="B86" s="11" t="inlineStr">
        <is>
          <t>keyword</t>
        </is>
      </c>
      <c r="C86" s="10" t="n">
        <v>5</v>
      </c>
      <c r="D86" s="10" t="inlineStr">
        <is>
          <t>No</t>
        </is>
      </c>
      <c r="E86" s="11" t="inlineStr">
        <is>
          <t>Business analytics - Wikipedia</t>
        </is>
      </c>
      <c r="F86" s="11" t="n"/>
      <c r="G86" s="18" t="n">
        <v>34.475006</v>
      </c>
      <c r="H86" s="18" t="n"/>
      <c r="I86" s="11" t="inlineStr">
        <is>
          <t>use of not only descriptive statistics , but also predictive modeling and complex optimization techniques Substantial use of analytics across multiple business functions or processes Movement toward an enterprise-level a...</t>
        </is>
      </c>
    </row>
    <row r="87" ht="145.2" customHeight="1" s="21">
      <c r="A87" s="10" t="n">
        <v>5</v>
      </c>
      <c r="B87" s="11" t="inlineStr">
        <is>
          <t>vector</t>
        </is>
      </c>
      <c r="C87" s="10" t="n">
        <v>1</v>
      </c>
      <c r="D87" s="10" t="inlineStr">
        <is>
          <t>No</t>
        </is>
      </c>
      <c r="E87" s="11" t="inlineStr">
        <is>
          <t>Business analytics - Wikipedia</t>
        </is>
      </c>
      <c r="F87" s="11" t="n"/>
      <c r="G87" s="18" t="n">
        <v>0.8350311</v>
      </c>
      <c r="H87" s="18" t="n"/>
      <c r="I87" s="11" t="inlineStr">
        <is>
          <t>From Wikipedia, the free encyclopedia Not to be confused with Business analysis . Concept in business analytics This article needs more citations . Please help improve this article by adding citations to reliable sources...</t>
        </is>
      </c>
    </row>
    <row r="88" ht="92.40000000000001" customHeight="1" s="21">
      <c r="A88" s="10" t="n">
        <v>5</v>
      </c>
      <c r="B88" s="11" t="inlineStr">
        <is>
          <t>vector</t>
        </is>
      </c>
      <c r="C88" s="10" t="n">
        <v>2</v>
      </c>
      <c r="D88" s="10" t="inlineStr">
        <is>
          <t>Yes</t>
        </is>
      </c>
      <c r="E88" s="11" t="inlineStr">
        <is>
          <t>Business_Analytics_Textbook_Cengage_pg_1_300.pdf</t>
        </is>
      </c>
      <c r="F88" s="11" t="inlineStr">
        <is>
          <t>page 2</t>
        </is>
      </c>
      <c r="G88" s="18" t="n">
        <v>0.79755753</v>
      </c>
      <c r="H88" s="18" t="n"/>
      <c r="I88" s="11" t="inlineStr">
        <is>
          <t>Jeffrey D. Camm Wake Forest University Michael J. Fry University of Cincinnati James J. Cochran University of Alabama Jeffrey W. Ohlmann University of Iowa Australia ● Brazil ● Mexico ● Singapore ● United Kingdom ● Unite...</t>
        </is>
      </c>
    </row>
    <row r="89" ht="158.4" customHeight="1" s="21">
      <c r="A89" s="10" t="n">
        <v>5</v>
      </c>
      <c r="B89" s="11" t="inlineStr">
        <is>
          <t>vector</t>
        </is>
      </c>
      <c r="C89" s="10" t="n">
        <v>3</v>
      </c>
      <c r="D89" s="10" t="inlineStr">
        <is>
          <t>No</t>
        </is>
      </c>
      <c r="E89" s="11" t="inlineStr">
        <is>
          <t>Business analytics - Wikipedia</t>
        </is>
      </c>
      <c r="F89" s="11" t="n"/>
      <c r="G89" s="18" t="n">
        <v>0.7780574</v>
      </c>
      <c r="H89" s="18" t="n"/>
      <c r="I89" s="11" t="inlineStr">
        <is>
          <t>analytics focusses on prediction and prescription. [ 1 ] Business analytics makes extensive use of analytical modeling and numerical analysis, including explanatory and predictive modeling , [ 2 ] and fact-based manageme...</t>
        </is>
      </c>
    </row>
    <row r="90" ht="158.4" customHeight="1" s="21">
      <c r="A90" s="10" t="n">
        <v>5</v>
      </c>
      <c r="B90" s="11" t="inlineStr">
        <is>
          <t>vector</t>
        </is>
      </c>
      <c r="C90" s="10" t="n">
        <v>4</v>
      </c>
      <c r="D90" s="10" t="inlineStr">
        <is>
          <t>No</t>
        </is>
      </c>
      <c r="E90" s="11" t="inlineStr">
        <is>
          <t>Business analytics - Wikipedia</t>
        </is>
      </c>
      <c r="F90" s="11" t="n"/>
      <c r="G90" s="18" t="n">
        <v>0.7622858</v>
      </c>
      <c r="H90" s="18" t="n"/>
      <c r="I90" s="11" t="inlineStr">
        <is>
          <t>use of not only descriptive statistics , but also predictive modeling and complex optimization techniques Substantial use of analytics across multiple business functions or processes Movement toward an enterprise-level a...</t>
        </is>
      </c>
    </row>
    <row r="91" ht="132" customHeight="1" s="21">
      <c r="A91" s="10" t="n">
        <v>5</v>
      </c>
      <c r="B91" s="11" t="inlineStr">
        <is>
          <t>vector</t>
        </is>
      </c>
      <c r="C91" s="10" t="n">
        <v>5</v>
      </c>
      <c r="D91" s="10" t="inlineStr">
        <is>
          <t>Yes</t>
        </is>
      </c>
      <c r="E91" s="11" t="inlineStr">
        <is>
          <t>Business_Analytics_Textbook_Cengage_pg_1_300.pdf</t>
        </is>
      </c>
      <c r="F91" s="11" t="inlineStr">
        <is>
          <t>page 31</t>
        </is>
      </c>
      <c r="G91" s="18" t="n">
        <v>0.74537444</v>
      </c>
      <c r="H91" s="18" t="n"/>
      <c r="I91" s="11" t="inlineStr">
        <is>
          <t>1.3 A Categorization of Analytical Methods and Models 5 1.3 A Categorization of Analytical Methods and Models Business analytics can involve anything from simple reports to the most advanced optimi- zation techniques (me...</t>
        </is>
      </c>
    </row>
    <row r="92" ht="158.4" customHeight="1" s="21">
      <c r="A92" s="10" t="n">
        <v>5</v>
      </c>
      <c r="B92" s="11" t="inlineStr">
        <is>
          <t>hybrid</t>
        </is>
      </c>
      <c r="C92" s="10" t="n">
        <v>1</v>
      </c>
      <c r="D92" s="10" t="inlineStr">
        <is>
          <t>No</t>
        </is>
      </c>
      <c r="E92" s="11" t="inlineStr">
        <is>
          <t>Business analytics - Wikipedia</t>
        </is>
      </c>
      <c r="F92" s="11" t="n"/>
      <c r="G92" s="18" t="n">
        <v>0.03279569745063782</v>
      </c>
      <c r="H92" s="18" t="n"/>
      <c r="I92" s="11" t="inlineStr">
        <is>
          <t>analytics focusses on prediction and prescription. [ 1 ] Business analytics makes extensive use of analytical modeling and numerical analysis, including explanatory and predictive modeling , [ 2 ] and fact-based manageme...</t>
        </is>
      </c>
    </row>
    <row r="93" ht="145.2" customHeight="1" s="21">
      <c r="A93" s="10" t="n">
        <v>5</v>
      </c>
      <c r="B93" s="11" t="inlineStr">
        <is>
          <t>hybrid</t>
        </is>
      </c>
      <c r="C93" s="10" t="n">
        <v>2</v>
      </c>
      <c r="D93" s="10" t="inlineStr">
        <is>
          <t>No</t>
        </is>
      </c>
      <c r="E93" s="11" t="inlineStr">
        <is>
          <t>Business analytics - Wikipedia</t>
        </is>
      </c>
      <c r="F93" s="11" t="n"/>
      <c r="G93" s="18" t="n">
        <v>0.03253968432545662</v>
      </c>
      <c r="H93" s="18" t="n"/>
      <c r="I93" s="11" t="inlineStr">
        <is>
          <t>From Wikipedia, the free encyclopedia Not to be confused with Business analysis . Concept in business analytics This article needs more citations . Please help improve this article by adding citations to reliable sources...</t>
        </is>
      </c>
    </row>
    <row r="94" ht="158.4" customHeight="1" s="21">
      <c r="A94" s="10" t="n">
        <v>5</v>
      </c>
      <c r="B94" s="11" t="inlineStr">
        <is>
          <t>hybrid</t>
        </is>
      </c>
      <c r="C94" s="10" t="n">
        <v>3</v>
      </c>
      <c r="D94" s="10" t="inlineStr">
        <is>
          <t>No</t>
        </is>
      </c>
      <c r="E94" s="11" t="inlineStr">
        <is>
          <t>Business analytics - Wikipedia</t>
        </is>
      </c>
      <c r="F94" s="11" t="n"/>
      <c r="G94" s="18" t="n">
        <v>0.0314980149269104</v>
      </c>
      <c r="H94" s="18" t="n"/>
      <c r="I94" s="11" t="inlineStr">
        <is>
          <t>use of not only descriptive statistics , but also predictive modeling and complex optimization techniques Substantial use of analytics across multiple business functions or processes Movement toward an enterprise-level a...</t>
        </is>
      </c>
    </row>
    <row r="95" ht="132" customHeight="1" s="21">
      <c r="A95" s="10" t="n">
        <v>5</v>
      </c>
      <c r="B95" s="11" t="inlineStr">
        <is>
          <t>hybrid</t>
        </is>
      </c>
      <c r="C95" s="10" t="n">
        <v>4</v>
      </c>
      <c r="D95" s="10" t="inlineStr">
        <is>
          <t>Yes</t>
        </is>
      </c>
      <c r="E95" s="11" t="inlineStr">
        <is>
          <t>Business_Analytics_Textbook_Cengage_pg_1_300.pdf</t>
        </is>
      </c>
      <c r="F95" s="11" t="inlineStr">
        <is>
          <t>page 31</t>
        </is>
      </c>
      <c r="G95" s="18" t="n">
        <v>0.03077651560306549</v>
      </c>
      <c r="H95" s="18" t="n"/>
      <c r="I95" s="11" t="inlineStr">
        <is>
          <t>1.3 A Categorization of Analytical Methods and Models 5 1.3 A Categorization of Analytical Methods and Models Business analytics can involve anything from simple reports to the most advanced optimi- zation techniques (me...</t>
        </is>
      </c>
    </row>
    <row r="96" ht="158.4" customHeight="1" s="21">
      <c r="A96" s="10" t="n">
        <v>5</v>
      </c>
      <c r="B96" s="11" t="inlineStr">
        <is>
          <t>hybrid</t>
        </is>
      </c>
      <c r="C96" s="10" t="n">
        <v>5</v>
      </c>
      <c r="D96" s="10" t="inlineStr">
        <is>
          <t>Yes</t>
        </is>
      </c>
      <c r="E96" s="11" t="inlineStr">
        <is>
          <t>Business analytics - Wikipedia</t>
        </is>
      </c>
      <c r="F96" s="11" t="n"/>
      <c r="G96" s="18" t="n">
        <v>0.03047794848680496</v>
      </c>
      <c r="H96" s="18" t="n"/>
      <c r="I96" s="11" t="inlineStr">
        <is>
          <t>the patient's latest key indicators, historical trends and reference values. [ 4 ] Decision analytics: supports human decisions with visual analytics that the user models to reflect reasoning. [ 5 ] Descriptive analytics...</t>
        </is>
      </c>
    </row>
    <row r="97" ht="158.4" customHeight="1" s="21">
      <c r="A97" s="10" t="n">
        <v>5</v>
      </c>
      <c r="B97" s="11" t="inlineStr">
        <is>
          <t>hybrid_semantic</t>
        </is>
      </c>
      <c r="C97" s="10" t="n">
        <v>1</v>
      </c>
      <c r="D97" s="10" t="inlineStr">
        <is>
          <t>Yes</t>
        </is>
      </c>
      <c r="E97" s="11" t="inlineStr">
        <is>
          <t>Business_Analytics_Textbook_Cengage_pg_1_300.pdf</t>
        </is>
      </c>
      <c r="F97" s="11" t="inlineStr">
        <is>
          <t>page 42</t>
        </is>
      </c>
      <c r="G97" s="18" t="n">
        <v>0.02712049335241318</v>
      </c>
      <c r="H97" s="18" t="n">
        <v>3.12012243270874</v>
      </c>
      <c r="I97" s="11" t="inlineStr">
        <is>
          <t>decisions. There are three categories of analytics: descriptive, predictive, and prescriptive. Descriptive analytics describes what has happened and includes tools such as reports, data visualization, data dashboards, de...</t>
        </is>
      </c>
    </row>
    <row r="98" ht="145.2" customHeight="1" s="21">
      <c r="A98" s="10" t="n">
        <v>5</v>
      </c>
      <c r="B98" s="11" t="inlineStr">
        <is>
          <t>hybrid_semantic</t>
        </is>
      </c>
      <c r="C98" s="10" t="n">
        <v>2</v>
      </c>
      <c r="D98" s="10" t="inlineStr">
        <is>
          <t>No</t>
        </is>
      </c>
      <c r="E98" s="11" t="inlineStr">
        <is>
          <t>Business analytics - Wikipedia</t>
        </is>
      </c>
      <c r="F98" s="11" t="n"/>
      <c r="G98" s="18" t="n">
        <v>0.03253968432545662</v>
      </c>
      <c r="H98" s="18" t="n">
        <v>3.05419135093689</v>
      </c>
      <c r="I98" s="11" t="inlineStr">
        <is>
          <t>From Wikipedia, the free encyclopedia Not to be confused with Business analysis . Concept in business analytics This article needs more citations . Please help improve this article by adding citations to reliable sources...</t>
        </is>
      </c>
    </row>
    <row r="99" ht="132" customHeight="1" s="21">
      <c r="A99" s="10" t="n">
        <v>5</v>
      </c>
      <c r="B99" s="11" t="inlineStr">
        <is>
          <t>hybrid_semantic</t>
        </is>
      </c>
      <c r="C99" s="10" t="n">
        <v>3</v>
      </c>
      <c r="D99" s="10" t="inlineStr">
        <is>
          <t>Yes</t>
        </is>
      </c>
      <c r="E99" s="11" t="inlineStr">
        <is>
          <t>Business_Analytics_Textbook_Cengage_pg_1_300.pdf</t>
        </is>
      </c>
      <c r="F99" s="11" t="inlineStr">
        <is>
          <t>page 32</t>
        </is>
      </c>
      <c r="G99" s="18" t="n">
        <v>0.0270715206861496</v>
      </c>
      <c r="H99" s="18" t="n">
        <v>3.027960538864136</v>
      </c>
      <c r="I99" s="11" t="inlineStr">
        <is>
          <t>6 Chapter 1 Introduction Simulation involves the use of probability and statistics to construct a computer model to study the impact of uncertainty on a decision. For example, banks often use simulation to model investme...</t>
        </is>
      </c>
    </row>
    <row r="100" ht="132" customHeight="1" s="21">
      <c r="A100" s="10" t="n">
        <v>5</v>
      </c>
      <c r="B100" s="11" t="inlineStr">
        <is>
          <t>hybrid_semantic</t>
        </is>
      </c>
      <c r="C100" s="10" t="n">
        <v>4</v>
      </c>
      <c r="D100" s="10" t="inlineStr">
        <is>
          <t>Yes</t>
        </is>
      </c>
      <c r="E100" s="11" t="inlineStr">
        <is>
          <t>Business_Analytics_Textbook_Cengage_pg_1_300.pdf</t>
        </is>
      </c>
      <c r="F100" s="11" t="inlineStr">
        <is>
          <t>page 42</t>
        </is>
      </c>
      <c r="G100" s="18" t="n">
        <v>0.02941812574863434</v>
      </c>
      <c r="H100" s="18" t="n">
        <v>2.956357717514038</v>
      </c>
      <c r="I100" s="11" t="inlineStr">
        <is>
          <t>16 Chapter 1 Introduction S UMMA ry This introductory chapter began with a discussion of decision making. Decision making can be defined as the following process: (1) identify and define the problem, (2) determine the cr...</t>
        </is>
      </c>
    </row>
    <row r="101" ht="132" customHeight="1" s="21">
      <c r="A101" s="10" t="n">
        <v>5</v>
      </c>
      <c r="B101" s="11" t="inlineStr">
        <is>
          <t>hybrid_semantic</t>
        </is>
      </c>
      <c r="C101" s="10" t="n">
        <v>5</v>
      </c>
      <c r="D101" s="10" t="inlineStr">
        <is>
          <t>Yes</t>
        </is>
      </c>
      <c r="E101" s="11" t="inlineStr">
        <is>
          <t>Business_Analytics_Textbook_Cengage_pg_1_300.pdf</t>
        </is>
      </c>
      <c r="F101" s="11" t="inlineStr">
        <is>
          <t>page 31</t>
        </is>
      </c>
      <c r="G101" s="18" t="n">
        <v>0.03077651560306549</v>
      </c>
      <c r="H101" s="18" t="n">
        <v>2.938634395599365</v>
      </c>
      <c r="I101" s="11" t="inlineStr">
        <is>
          <t>1.3 A Categorization of Analytical Methods and Models 5 1.3 A Categorization of Analytical Methods and Models Business analytics can involve anything from simple reports to the most advanced optimi- zation techniques (me...</t>
        </is>
      </c>
    </row>
    <row r="102" ht="145.2" customHeight="1" s="21">
      <c r="A102" s="10" t="n">
        <v>6</v>
      </c>
      <c r="B102" s="11" t="inlineStr">
        <is>
          <t>keyword</t>
        </is>
      </c>
      <c r="C102" s="10" t="n">
        <v>1</v>
      </c>
      <c r="D102" s="10" t="inlineStr">
        <is>
          <t>Yes</t>
        </is>
      </c>
      <c r="E102" s="11" t="inlineStr">
        <is>
          <t>Business analytics - Wikipedia</t>
        </is>
      </c>
      <c r="F102" s="11" t="n"/>
      <c r="G102" s="18" t="n">
        <v>28.797087</v>
      </c>
      <c r="H102" s="18" t="n"/>
      <c r="I102" s="11" t="inlineStr">
        <is>
          <t>have been used in business since management exercises were put into place by Frederick Winslow Taylor in the late 19th century. Henry Ford measured the time of each component in his newly established assembly line. Howev...</t>
        </is>
      </c>
    </row>
    <row r="103" ht="158.4" customHeight="1" s="21">
      <c r="A103" s="10" t="n">
        <v>6</v>
      </c>
      <c r="B103" s="11" t="inlineStr">
        <is>
          <t>keyword</t>
        </is>
      </c>
      <c r="C103" s="10" t="n">
        <v>2</v>
      </c>
      <c r="D103" s="10" t="inlineStr">
        <is>
          <t>No</t>
        </is>
      </c>
      <c r="E103" s="11" t="inlineStr">
        <is>
          <t>Business analytics - Wikipedia</t>
        </is>
      </c>
      <c r="F103" s="11" t="n"/>
      <c r="G103" s="18" t="n">
        <v>17.872911</v>
      </c>
      <c r="H103" s="18" t="n"/>
      <c r="I103" s="11" t="inlineStr">
        <is>
          <t>the patient's latest key indicators, historical trends and reference values. [ 4 ] Decision analytics: supports human decisions with visual analytics that the user models to reflect reasoning. [ 5 ] Descriptive analytics...</t>
        </is>
      </c>
    </row>
    <row r="104" ht="66" customHeight="1" s="21">
      <c r="A104" s="10" t="n">
        <v>6</v>
      </c>
      <c r="B104" s="11" t="inlineStr">
        <is>
          <t>keyword</t>
        </is>
      </c>
      <c r="C104" s="10" t="n">
        <v>3</v>
      </c>
      <c r="D104" s="10" t="inlineStr">
        <is>
          <t>No</t>
        </is>
      </c>
      <c r="E104" s="11" t="inlineStr">
        <is>
          <t>Business Analytics Overview.pptx</t>
        </is>
      </c>
      <c r="F104" s="11" t="inlineStr">
        <is>
          <t>slide 4</t>
        </is>
      </c>
      <c r="G104" s="18" t="n">
        <v>17.716854</v>
      </c>
      <c r="H104" s="18" t="n"/>
      <c r="I104" s="11" t="inlineStr">
        <is>
          <t>The Rise of Analytics UNC Charlotte, Spring 2026 The dramatic increase in the amounts of data to analyze from various business information systems E.g., archives, business apps, media, machine log, sensor, etc. Powerful...</t>
        </is>
      </c>
    </row>
    <row r="105" ht="158.4" customHeight="1" s="21">
      <c r="A105" s="10" t="n">
        <v>6</v>
      </c>
      <c r="B105" s="11" t="inlineStr">
        <is>
          <t>keyword</t>
        </is>
      </c>
      <c r="C105" s="10" t="n">
        <v>4</v>
      </c>
      <c r="D105" s="10" t="inlineStr">
        <is>
          <t>No</t>
        </is>
      </c>
      <c r="E105" s="11" t="inlineStr">
        <is>
          <t>Business_Analytics_Textbook_Cengage_pg_1_300.pdf</t>
        </is>
      </c>
      <c r="F105" s="11" t="inlineStr">
        <is>
          <t>page 226</t>
        </is>
      </c>
      <c r="G105" s="18" t="n">
        <v>15.130377</v>
      </c>
      <c r="H105" s="18" t="n"/>
      <c r="I105" s="11" t="inlineStr">
        <is>
          <t>964 to the regular admis- sion pool for further consideration. In the past, this school has admitted 18% of the deferred early admission applicants during the regular admission process. Counting the students admitted ear...</t>
        </is>
      </c>
    </row>
    <row r="106" ht="158.4" customHeight="1" s="21">
      <c r="A106" s="10" t="n">
        <v>6</v>
      </c>
      <c r="B106" s="11" t="inlineStr">
        <is>
          <t>keyword</t>
        </is>
      </c>
      <c r="C106" s="10" t="n">
        <v>5</v>
      </c>
      <c r="D106" s="10" t="inlineStr">
        <is>
          <t>No</t>
        </is>
      </c>
      <c r="E106" s="11" t="inlineStr">
        <is>
          <t>Business_Analytics_Textbook_Cengage_pg_1_300.pdf</t>
        </is>
      </c>
      <c r="F106" s="11" t="inlineStr">
        <is>
          <t>page 188</t>
        </is>
      </c>
      <c r="G106" s="18" t="n">
        <v>15.112688</v>
      </c>
      <c r="H106" s="18" t="n"/>
      <c r="I106" s="11" t="inlineStr">
        <is>
          <t>counting each of the sample points in ùAB twice. We correct for this double counting by subtracting ùPA B() . As an example of the addition law, consider a study conducted by the human resources manager of a major comput...</t>
        </is>
      </c>
    </row>
    <row r="107" ht="145.2" customHeight="1" s="21">
      <c r="A107" s="10" t="n">
        <v>6</v>
      </c>
      <c r="B107" s="11" t="inlineStr">
        <is>
          <t>vector</t>
        </is>
      </c>
      <c r="C107" s="10" t="n">
        <v>1</v>
      </c>
      <c r="D107" s="10" t="inlineStr">
        <is>
          <t>Yes</t>
        </is>
      </c>
      <c r="E107" s="11" t="inlineStr">
        <is>
          <t>Business analytics - Wikipedia</t>
        </is>
      </c>
      <c r="F107" s="11" t="n"/>
      <c r="G107" s="18" t="n">
        <v>0.7186960999999999</v>
      </c>
      <c r="H107" s="18" t="n"/>
      <c r="I107" s="11" t="inlineStr">
        <is>
          <t>have been used in business since management exercises were put into place by Frederick Winslow Taylor in the late 19th century. Henry Ford measured the time of each component in his newly established assembly line. Howev...</t>
        </is>
      </c>
    </row>
    <row r="108" ht="66" customHeight="1" s="21">
      <c r="A108" s="10" t="n">
        <v>6</v>
      </c>
      <c r="B108" s="11" t="inlineStr">
        <is>
          <t>vector</t>
        </is>
      </c>
      <c r="C108" s="10" t="n">
        <v>2</v>
      </c>
      <c r="D108" s="10" t="inlineStr">
        <is>
          <t>No</t>
        </is>
      </c>
      <c r="E108" s="11" t="inlineStr">
        <is>
          <t>Business Analytics Overview.pptx</t>
        </is>
      </c>
      <c r="F108" s="11" t="inlineStr">
        <is>
          <t>slide 4</t>
        </is>
      </c>
      <c r="G108" s="18" t="n">
        <v>0.69140863</v>
      </c>
      <c r="H108" s="18" t="n"/>
      <c r="I108" s="11" t="inlineStr">
        <is>
          <t>The Rise of Analytics UNC Charlotte, Spring 2026 The dramatic increase in the amounts of data to analyze from various business information systems E.g., archives, business apps, media, machine log, sensor, etc. Powerful...</t>
        </is>
      </c>
    </row>
    <row r="109">
      <c r="A109" s="10" t="n">
        <v>6</v>
      </c>
      <c r="B109" s="11" t="inlineStr">
        <is>
          <t>vector</t>
        </is>
      </c>
      <c r="C109" s="10" t="n">
        <v>3</v>
      </c>
      <c r="D109" s="10" t="inlineStr">
        <is>
          <t>No</t>
        </is>
      </c>
      <c r="E109" s="11" t="inlineStr">
        <is>
          <t>Business Analytics Overview.pptx</t>
        </is>
      </c>
      <c r="F109" s="11" t="inlineStr">
        <is>
          <t>slide 1</t>
        </is>
      </c>
      <c r="G109" s="18" t="n">
        <v>0.6846111</v>
      </c>
      <c r="H109" s="18" t="n"/>
      <c r="I109" s="11" t="inlineStr">
        <is>
          <t>Business Analytics: An Overview DSBA/MBAD 6211 Advanced Business Analytics</t>
        </is>
      </c>
    </row>
    <row r="110" ht="158.4" customHeight="1" s="21">
      <c r="A110" s="10" t="n">
        <v>6</v>
      </c>
      <c r="B110" s="11" t="inlineStr">
        <is>
          <t>vector</t>
        </is>
      </c>
      <c r="C110" s="10" t="n">
        <v>4</v>
      </c>
      <c r="D110" s="10" t="inlineStr">
        <is>
          <t>No</t>
        </is>
      </c>
      <c r="E110" s="11" t="inlineStr">
        <is>
          <t>Business analytics - Wikipedia</t>
        </is>
      </c>
      <c r="F110" s="11" t="n"/>
      <c r="G110" s="18" t="n">
        <v>0.6803461</v>
      </c>
      <c r="H110" s="18" t="n"/>
      <c r="I110" s="11" t="inlineStr">
        <is>
          <t>data across different systems, and then deciding what subsets of data to make available. [ 3 ] Previously, analytics was considered a type of after-the-fact method of forecasting consumer behavior by examining the number...</t>
        </is>
      </c>
    </row>
    <row r="111" ht="158.4" customHeight="1" s="21">
      <c r="A111" s="10" t="n">
        <v>6</v>
      </c>
      <c r="B111" s="11" t="inlineStr">
        <is>
          <t>vector</t>
        </is>
      </c>
      <c r="C111" s="10" t="n">
        <v>5</v>
      </c>
      <c r="D111" s="10" t="inlineStr">
        <is>
          <t>No</t>
        </is>
      </c>
      <c r="E111" s="11" t="inlineStr">
        <is>
          <t>Business analytics - Wikipedia</t>
        </is>
      </c>
      <c r="F111" s="11" t="n"/>
      <c r="G111" s="18" t="n">
        <v>0.67971194</v>
      </c>
      <c r="H111" s="18" t="n"/>
      <c r="I111" s="11" t="inlineStr">
        <is>
          <t>analytics focusses on prediction and prescription. [ 1 ] Business analytics makes extensive use of analytical modeling and numerical analysis, including explanatory and predictive modeling , [ 2 ] and fact-based manageme...</t>
        </is>
      </c>
    </row>
    <row r="112" ht="145.2" customHeight="1" s="21">
      <c r="A112" s="10" t="n">
        <v>6</v>
      </c>
      <c r="B112" s="11" t="inlineStr">
        <is>
          <t>hybrid</t>
        </is>
      </c>
      <c r="C112" s="10" t="n">
        <v>1</v>
      </c>
      <c r="D112" s="10" t="inlineStr">
        <is>
          <t>Yes</t>
        </is>
      </c>
      <c r="E112" s="11" t="inlineStr">
        <is>
          <t>Business analytics - Wikipedia</t>
        </is>
      </c>
      <c r="F112" s="11" t="n"/>
      <c r="G112" s="18" t="n">
        <v>0.03333333507180214</v>
      </c>
      <c r="H112" s="18" t="n"/>
      <c r="I112" s="11" t="inlineStr">
        <is>
          <t>have been used in business since management exercises were put into place by Frederick Winslow Taylor in the late 19th century. Henry Ford measured the time of each component in his newly established assembly line. Howev...</t>
        </is>
      </c>
    </row>
    <row r="113" ht="66" customHeight="1" s="21">
      <c r="A113" s="10" t="n">
        <v>6</v>
      </c>
      <c r="B113" s="11" t="inlineStr">
        <is>
          <t>hybrid</t>
        </is>
      </c>
      <c r="C113" s="10" t="n">
        <v>2</v>
      </c>
      <c r="D113" s="10" t="inlineStr">
        <is>
          <t>No</t>
        </is>
      </c>
      <c r="E113" s="11" t="inlineStr">
        <is>
          <t>Business Analytics Overview.pptx</t>
        </is>
      </c>
      <c r="F113" s="11" t="inlineStr">
        <is>
          <t>slide 4</t>
        </is>
      </c>
      <c r="G113" s="18" t="n">
        <v>0.03252247348427773</v>
      </c>
      <c r="H113" s="18" t="n"/>
      <c r="I113" s="11" t="inlineStr">
        <is>
          <t>The Rise of Analytics UNC Charlotte, Spring 2026 The dramatic increase in the amounts of data to analyze from various business information systems E.g., archives, business apps, media, machine log, sensor, etc. Powerful...</t>
        </is>
      </c>
    </row>
    <row r="114" ht="158.4" customHeight="1" s="21">
      <c r="A114" s="10" t="n">
        <v>6</v>
      </c>
      <c r="B114" s="11" t="inlineStr">
        <is>
          <t>hybrid</t>
        </is>
      </c>
      <c r="C114" s="10" t="n">
        <v>3</v>
      </c>
      <c r="D114" s="10" t="inlineStr">
        <is>
          <t>No</t>
        </is>
      </c>
      <c r="E114" s="11" t="inlineStr">
        <is>
          <t>Business analytics - Wikipedia</t>
        </is>
      </c>
      <c r="F114" s="11" t="n"/>
      <c r="G114" s="18" t="n">
        <v>0.03177805617451668</v>
      </c>
      <c r="H114" s="18" t="n"/>
      <c r="I114" s="11" t="inlineStr">
        <is>
          <t>the patient's latest key indicators, historical trends and reference values. [ 4 ] Decision analytics: supports human decisions with visual analytics that the user models to reflect reasoning. [ 5 ] Descriptive analytics...</t>
        </is>
      </c>
    </row>
    <row r="115" ht="158.4" customHeight="1" s="21">
      <c r="A115" s="10" t="n">
        <v>6</v>
      </c>
      <c r="B115" s="11" t="inlineStr">
        <is>
          <t>hybrid</t>
        </is>
      </c>
      <c r="C115" s="10" t="n">
        <v>4</v>
      </c>
      <c r="D115" s="10" t="inlineStr">
        <is>
          <t>No</t>
        </is>
      </c>
      <c r="E115" s="11" t="inlineStr">
        <is>
          <t>Business analytics - Wikipedia</t>
        </is>
      </c>
      <c r="F115" s="11" t="n"/>
      <c r="G115" s="18" t="n">
        <v>0.03125763311982155</v>
      </c>
      <c r="H115" s="18" t="n"/>
      <c r="I115" s="11" t="inlineStr">
        <is>
          <t>data across different systems, and then deciding what subsets of data to make available. [ 3 ] Previously, analytics was considered a type of after-the-fact method of forecasting consumer behavior by examining the number...</t>
        </is>
      </c>
    </row>
    <row r="116" ht="158.4" customHeight="1" s="21">
      <c r="A116" s="10" t="n">
        <v>6</v>
      </c>
      <c r="B116" s="11" t="inlineStr">
        <is>
          <t>hybrid</t>
        </is>
      </c>
      <c r="C116" s="10" t="n">
        <v>5</v>
      </c>
      <c r="D116" s="10" t="inlineStr">
        <is>
          <t>No</t>
        </is>
      </c>
      <c r="E116" s="11" t="inlineStr">
        <is>
          <t>Business analytics - Wikipedia</t>
        </is>
      </c>
      <c r="F116" s="11" t="n"/>
      <c r="G116" s="18" t="n">
        <v>0.03011775389313698</v>
      </c>
      <c r="H116" s="18" t="n"/>
      <c r="I116" s="11" t="inlineStr">
        <is>
          <t>analytics focusses on prediction and prescription. [ 1 ] Business analytics makes extensive use of analytical modeling and numerical analysis, including explanatory and predictive modeling , [ 2 ] and fact-based manageme...</t>
        </is>
      </c>
    </row>
    <row r="117" ht="145.2" customHeight="1" s="21">
      <c r="A117" s="10" t="n">
        <v>6</v>
      </c>
      <c r="B117" s="11" t="inlineStr">
        <is>
          <t>hybrid_semantic</t>
        </is>
      </c>
      <c r="C117" s="10" t="n">
        <v>1</v>
      </c>
      <c r="D117" s="10" t="inlineStr">
        <is>
          <t>Yes</t>
        </is>
      </c>
      <c r="E117" s="11" t="inlineStr">
        <is>
          <t>Business analytics - Wikipedia</t>
        </is>
      </c>
      <c r="F117" s="11" t="n"/>
      <c r="G117" s="18" t="n">
        <v>0.03333333507180214</v>
      </c>
      <c r="H117" s="18" t="n">
        <v>2.499801397323608</v>
      </c>
      <c r="I117" s="11" t="inlineStr">
        <is>
          <t>have been used in business since management exercises were put into place by Frederick Winslow Taylor in the late 19th century. Henry Ford measured the time of each component in his newly established assembly line. Howev...</t>
        </is>
      </c>
    </row>
    <row r="118" ht="158.4" customHeight="1" s="21">
      <c r="A118" s="10" t="n">
        <v>6</v>
      </c>
      <c r="B118" s="11" t="inlineStr">
        <is>
          <t>hybrid_semantic</t>
        </is>
      </c>
      <c r="C118" s="10" t="n">
        <v>2</v>
      </c>
      <c r="D118" s="10" t="inlineStr">
        <is>
          <t>No</t>
        </is>
      </c>
      <c r="E118" s="11" t="inlineStr">
        <is>
          <t>Business analytics - Wikipedia</t>
        </is>
      </c>
      <c r="F118" s="11" t="n"/>
      <c r="G118" s="18" t="n">
        <v>0.03177805617451668</v>
      </c>
      <c r="H118" s="18" t="n">
        <v>2.342328548431396</v>
      </c>
      <c r="I118" s="11" t="inlineStr">
        <is>
          <t>the patient's latest key indicators, historical trends and reference values. [ 4 ] Decision analytics: supports human decisions with visual analytics that the user models to reflect reasoning. [ 5 ] Descriptive analytics...</t>
        </is>
      </c>
    </row>
    <row r="119" ht="66" customHeight="1" s="21">
      <c r="A119" s="10" t="n">
        <v>6</v>
      </c>
      <c r="B119" s="11" t="inlineStr">
        <is>
          <t>hybrid_semantic</t>
        </is>
      </c>
      <c r="C119" s="10" t="n">
        <v>3</v>
      </c>
      <c r="D119" s="10" t="inlineStr">
        <is>
          <t>No</t>
        </is>
      </c>
      <c r="E119" s="11" t="inlineStr">
        <is>
          <t>Business Analytics Overview.pptx</t>
        </is>
      </c>
      <c r="F119" s="11" t="inlineStr">
        <is>
          <t>slide 4</t>
        </is>
      </c>
      <c r="G119" s="18" t="n">
        <v>0.03252247348427773</v>
      </c>
      <c r="H119" s="18" t="n">
        <v>1.959767699241638</v>
      </c>
      <c r="I119" s="11" t="inlineStr">
        <is>
          <t>The Rise of Analytics UNC Charlotte, Spring 2026 The dramatic increase in the amounts of data to analyze from various business information systems E.g., archives, business apps, media, machine log, sensor, etc. Powerful...</t>
        </is>
      </c>
    </row>
    <row r="120" ht="145.2" customHeight="1" s="21">
      <c r="A120" s="10" t="n">
        <v>6</v>
      </c>
      <c r="B120" s="11" t="inlineStr">
        <is>
          <t>hybrid_semantic</t>
        </is>
      </c>
      <c r="C120" s="10" t="n">
        <v>4</v>
      </c>
      <c r="D120" s="10" t="inlineStr">
        <is>
          <t>No</t>
        </is>
      </c>
      <c r="E120" s="11" t="inlineStr">
        <is>
          <t>Business_Analytics_Textbook_Cengage_pg_1_300.pdf</t>
        </is>
      </c>
      <c r="F120" s="11" t="inlineStr">
        <is>
          <t>page 29</t>
        </is>
      </c>
      <c r="G120" s="18" t="n">
        <v>0.01785714365541935</v>
      </c>
      <c r="H120" s="18" t="n">
        <v>1.937790632247925</v>
      </c>
      <c r="I120" s="11" t="inlineStr">
        <is>
          <t>1.1 Decision Making 3 more than a dozen hospitals in North America are using Watson to assist with the diagnosis and treatment of patients.1 This book is concerned with data-driven decision making and the use of analytic...</t>
        </is>
      </c>
    </row>
    <row r="121" ht="132" customHeight="1" s="21">
      <c r="A121" s="10" t="n">
        <v>6</v>
      </c>
      <c r="B121" s="11" t="inlineStr">
        <is>
          <t>hybrid_semantic</t>
        </is>
      </c>
      <c r="C121" s="10" t="n">
        <v>5</v>
      </c>
      <c r="D121" s="10" t="inlineStr">
        <is>
          <t>No</t>
        </is>
      </c>
      <c r="E121" s="11" t="inlineStr">
        <is>
          <t>Business_Analytics_Textbook_Cengage_pg_1_300.pdf</t>
        </is>
      </c>
      <c r="F121" s="11" t="inlineStr">
        <is>
          <t>page 36</t>
        </is>
      </c>
      <c r="G121" s="18" t="n">
        <v>0.02480203285813332</v>
      </c>
      <c r="H121" s="18" t="n">
        <v>1.923434615135193</v>
      </c>
      <c r="I121" s="11" t="inlineStr">
        <is>
          <t>10 Chapter 1 Introduction analytics is that it provides useful insights and better decision making using the data that are available—whether those data are “big” or “small.” 1.5 Business Analytics in Practice Business an...</t>
        </is>
      </c>
    </row>
    <row r="122" ht="158.4" customHeight="1" s="21">
      <c r="A122" s="10" t="n">
        <v>7</v>
      </c>
      <c r="B122" s="11" t="inlineStr">
        <is>
          <t>keyword</t>
        </is>
      </c>
      <c r="C122" s="10" t="n">
        <v>1</v>
      </c>
      <c r="D122" s="10" t="inlineStr">
        <is>
          <t>No</t>
        </is>
      </c>
      <c r="E122" s="11" t="inlineStr">
        <is>
          <t>Business_Analytics_Textbook_Cengage_pg_1_300.pdf</t>
        </is>
      </c>
      <c r="F122" s="11" t="inlineStr">
        <is>
          <t>page 30</t>
        </is>
      </c>
      <c r="G122" s="18" t="n">
        <v>13.5477</v>
      </c>
      <c r="H122" s="18" t="n"/>
      <c r="I122" s="11" t="inlineStr">
        <is>
          <t>exactly how long each step in a project will take to be completed, we could better predict the project’s cost and completion date. If we knew how stocks will perform, investing would be a lot easier. Another factor that...</t>
        </is>
      </c>
    </row>
    <row r="123" ht="158.4" customHeight="1" s="21">
      <c r="A123" s="10" t="n">
        <v>7</v>
      </c>
      <c r="B123" s="11" t="inlineStr">
        <is>
          <t>keyword</t>
        </is>
      </c>
      <c r="C123" s="10" t="n">
        <v>2</v>
      </c>
      <c r="D123" s="10" t="inlineStr">
        <is>
          <t>No</t>
        </is>
      </c>
      <c r="E123" s="11" t="inlineStr">
        <is>
          <t>Business_Analytics_Textbook_Cengage_pg_1_300.pdf</t>
        </is>
      </c>
      <c r="F123" s="11" t="inlineStr">
        <is>
          <t>page 30</t>
        </is>
      </c>
      <c r="G123" s="18" t="n">
        <v>13.296797</v>
      </c>
      <c r="H123" s="18" t="n"/>
      <c r="I123" s="11" t="inlineStr">
        <is>
          <t>(steps 3 and 4) be devised. Decision making con- cludes with the choice of one of the alternatives (step 5). There are a number of approaches to making decisions: tradition (“We’ve always done it this way”), intuition (“...</t>
        </is>
      </c>
    </row>
    <row r="124" ht="158.4" customHeight="1" s="21">
      <c r="A124" s="10" t="n">
        <v>7</v>
      </c>
      <c r="B124" s="11" t="inlineStr">
        <is>
          <t>keyword</t>
        </is>
      </c>
      <c r="C124" s="10" t="n">
        <v>3</v>
      </c>
      <c r="D124" s="10" t="inlineStr">
        <is>
          <t>No</t>
        </is>
      </c>
      <c r="E124" s="11" t="inlineStr">
        <is>
          <t>Business analytics - Wikipedia</t>
        </is>
      </c>
      <c r="F124" s="11" t="n"/>
      <c r="G124" s="18" t="n">
        <v>12.868624</v>
      </c>
      <c r="H124" s="18" t="n"/>
      <c r="I124" s="11" t="inlineStr">
        <is>
          <t>analytics focusses on prediction and prescription. [ 1 ] Business analytics makes extensive use of analytical modeling and numerical analysis, including explanatory and predictive modeling , [ 2 ] and fact-based manageme...</t>
        </is>
      </c>
    </row>
    <row r="125" ht="145.2" customHeight="1" s="21">
      <c r="A125" s="10" t="n">
        <v>7</v>
      </c>
      <c r="B125" s="11" t="inlineStr">
        <is>
          <t>keyword</t>
        </is>
      </c>
      <c r="C125" s="10" t="n">
        <v>4</v>
      </c>
      <c r="D125" s="10" t="inlineStr">
        <is>
          <t>No</t>
        </is>
      </c>
      <c r="E125" s="11" t="inlineStr">
        <is>
          <t>Business analytics - Wikipedia</t>
        </is>
      </c>
      <c r="F125" s="11" t="n"/>
      <c r="G125" s="18" t="n">
        <v>12.311873</v>
      </c>
      <c r="H125" s="18" t="n"/>
      <c r="I125" s="11" t="inlineStr">
        <is>
          <t>have been used in business since management exercises were put into place by Frederick Winslow Taylor in the late 19th century. Henry Ford measured the time of each component in his newly established assembly line. Howev...</t>
        </is>
      </c>
    </row>
    <row r="126" ht="145.2" customHeight="1" s="21">
      <c r="A126" s="10" t="n">
        <v>7</v>
      </c>
      <c r="B126" s="11" t="inlineStr">
        <is>
          <t>keyword</t>
        </is>
      </c>
      <c r="C126" s="10" t="n">
        <v>5</v>
      </c>
      <c r="D126" s="10" t="inlineStr">
        <is>
          <t>No</t>
        </is>
      </c>
      <c r="E126" s="11" t="inlineStr">
        <is>
          <t>Business_Analytics_Textbook_Cengage_pg_1_300.pdf</t>
        </is>
      </c>
      <c r="F126" s="11" t="inlineStr">
        <is>
          <t>page 49</t>
        </is>
      </c>
      <c r="G126" s="18" t="n">
        <v>11.125072</v>
      </c>
      <c r="H126" s="18" t="n"/>
      <c r="I126" s="11" t="inlineStr">
        <is>
          <t>2.2 t ypes of Data 23 the new drug, researchers select a sample of individuals. The dosage level of the new drug is controlled by giving different dosages to the different groups of individuals. Before and after the stud...</t>
        </is>
      </c>
    </row>
    <row r="127" ht="26.4" customHeight="1" s="21">
      <c r="A127" s="10" t="n">
        <v>7</v>
      </c>
      <c r="B127" s="11" t="inlineStr">
        <is>
          <t>vector</t>
        </is>
      </c>
      <c r="C127" s="10" t="n">
        <v>1</v>
      </c>
      <c r="D127" s="10" t="inlineStr">
        <is>
          <t>Yes</t>
        </is>
      </c>
      <c r="E127" s="11" t="inlineStr">
        <is>
          <t>Business Analytics Overview.pptx</t>
        </is>
      </c>
      <c r="F127" s="11" t="inlineStr">
        <is>
          <t>slide 18</t>
        </is>
      </c>
      <c r="G127" s="18" t="n">
        <v>0.7056302</v>
      </c>
      <c r="H127" s="18" t="n"/>
      <c r="I127" s="11" t="inlineStr">
        <is>
          <t>Analytics Challenges UNC Charlotte, Spring 2026 Data Quality Issues It is correct It is complete It is current It is consistent It is in the context It is controlled Safety, security, privacy, and auditability</t>
        </is>
      </c>
    </row>
    <row r="128" ht="39.6" customHeight="1" s="21">
      <c r="A128" s="10" t="n">
        <v>7</v>
      </c>
      <c r="B128" s="11" t="inlineStr">
        <is>
          <t>vector</t>
        </is>
      </c>
      <c r="C128" s="10" t="n">
        <v>2</v>
      </c>
      <c r="D128" s="10" t="inlineStr">
        <is>
          <t>No</t>
        </is>
      </c>
      <c r="E128" s="11" t="inlineStr">
        <is>
          <t>Business Analytics Overview.pptx</t>
        </is>
      </c>
      <c r="F128" s="11" t="inlineStr">
        <is>
          <t>slide 16</t>
        </is>
      </c>
      <c r="G128" s="18" t="n">
        <v>0.6694278</v>
      </c>
      <c r="H128" s="18" t="n"/>
      <c r="I128" s="11" t="inlineStr">
        <is>
          <t>Analytics Challenges Human judgement is still needed to ensure data-driven decision making (https://www.mckinsey.com/featured-insights/artificial-intelligence/tackling-bias-in-artificial-intelligence-and-in-humans) UNC C...</t>
        </is>
      </c>
    </row>
    <row r="129" ht="158.4" customHeight="1" s="21">
      <c r="A129" s="10" t="n">
        <v>7</v>
      </c>
      <c r="B129" s="11" t="inlineStr">
        <is>
          <t>vector</t>
        </is>
      </c>
      <c r="C129" s="10" t="n">
        <v>3</v>
      </c>
      <c r="D129" s="10" t="inlineStr">
        <is>
          <t>No</t>
        </is>
      </c>
      <c r="E129" s="11" t="inlineStr">
        <is>
          <t>Business_Analytics_Textbook_Cengage_pg_1_300.pdf</t>
        </is>
      </c>
      <c r="F129" s="11" t="inlineStr">
        <is>
          <t>page 30</t>
        </is>
      </c>
      <c r="G129" s="18" t="n">
        <v>0.65920657</v>
      </c>
      <c r="H129" s="18" t="n"/>
      <c r="I129" s="11" t="inlineStr">
        <is>
          <t>(steps 3 and 4) be devised. Decision making con- cludes with the choice of one of the alternatives (step 5). There are a number of approaches to making decisions: tradition (“We’ve always done it this way”), intuition (“...</t>
        </is>
      </c>
    </row>
    <row r="130">
      <c r="A130" s="10" t="n">
        <v>7</v>
      </c>
      <c r="B130" s="11" t="inlineStr">
        <is>
          <t>vector</t>
        </is>
      </c>
      <c r="C130" s="10" t="n">
        <v>4</v>
      </c>
      <c r="D130" s="10" t="inlineStr">
        <is>
          <t>No</t>
        </is>
      </c>
      <c r="E130" s="11" t="inlineStr">
        <is>
          <t>Business Analytics Overview.pptx</t>
        </is>
      </c>
      <c r="F130" s="11" t="inlineStr">
        <is>
          <t>slide 17</t>
        </is>
      </c>
      <c r="G130" s="18" t="n">
        <v>0.65764993</v>
      </c>
      <c r="H130" s="18" t="n"/>
      <c r="I130" s="11" t="inlineStr">
        <is>
          <t>Analytics Challenges When Are Analytical Decisions Inappropriate? UNC Charlotte, Spring 2026</t>
        </is>
      </c>
    </row>
    <row r="131">
      <c r="A131" s="10" t="n">
        <v>7</v>
      </c>
      <c r="B131" s="11" t="inlineStr">
        <is>
          <t>vector</t>
        </is>
      </c>
      <c r="C131" s="10" t="n">
        <v>5</v>
      </c>
      <c r="D131" s="10" t="inlineStr">
        <is>
          <t>No</t>
        </is>
      </c>
      <c r="E131" s="11" t="inlineStr">
        <is>
          <t>Business Analytics Overview.pptx</t>
        </is>
      </c>
      <c r="F131" s="11" t="inlineStr">
        <is>
          <t>slide 15</t>
        </is>
      </c>
      <c r="G131" s="18" t="n">
        <v>0.6543601999999999</v>
      </c>
      <c r="H131" s="18" t="n"/>
      <c r="I131" s="11" t="inlineStr">
        <is>
          <t>Confirmation Bias UNC Charlotte, Spring 2026 If you torture the data long enough, it will confess.</t>
        </is>
      </c>
    </row>
    <row r="132" ht="158.4" customHeight="1" s="21">
      <c r="A132" s="10" t="n">
        <v>7</v>
      </c>
      <c r="B132" s="11" t="inlineStr">
        <is>
          <t>hybrid</t>
        </is>
      </c>
      <c r="C132" s="10" t="n">
        <v>1</v>
      </c>
      <c r="D132" s="10" t="inlineStr">
        <is>
          <t>No</t>
        </is>
      </c>
      <c r="E132" s="11" t="inlineStr">
        <is>
          <t>Business_Analytics_Textbook_Cengage_pg_1_300.pdf</t>
        </is>
      </c>
      <c r="F132" s="11" t="inlineStr">
        <is>
          <t>page 30</t>
        </is>
      </c>
      <c r="G132" s="18" t="n">
        <v>0.03252247348427773</v>
      </c>
      <c r="H132" s="18" t="n"/>
      <c r="I132" s="11" t="inlineStr">
        <is>
          <t>(steps 3 and 4) be devised. Decision making con- cludes with the choice of one of the alternatives (step 5). There are a number of approaches to making decisions: tradition (“We’ve always done it this way”), intuition (“...</t>
        </is>
      </c>
    </row>
    <row r="133" ht="158.4" customHeight="1" s="21">
      <c r="A133" s="10" t="n">
        <v>7</v>
      </c>
      <c r="B133" s="11" t="inlineStr">
        <is>
          <t>hybrid</t>
        </is>
      </c>
      <c r="C133" s="10" t="n">
        <v>2</v>
      </c>
      <c r="D133" s="10" t="inlineStr">
        <is>
          <t>No</t>
        </is>
      </c>
      <c r="E133" s="11" t="inlineStr">
        <is>
          <t>Business_Analytics_Textbook_Cengage_pg_1_300.pdf</t>
        </is>
      </c>
      <c r="F133" s="11" t="inlineStr">
        <is>
          <t>page 49</t>
        </is>
      </c>
      <c r="G133" s="18" t="n">
        <v>0.03053613007068634</v>
      </c>
      <c r="H133" s="18" t="n"/>
      <c r="I133" s="11" t="inlineStr">
        <is>
          <t>use of existing data sources is desirable when data must be obtained in a relatively short period of time. If important data are not readily available from a reliable existing source, the additional time and cost involve...</t>
        </is>
      </c>
    </row>
    <row r="134" ht="158.4" customHeight="1" s="21">
      <c r="A134" s="10" t="n">
        <v>7</v>
      </c>
      <c r="B134" s="11" t="inlineStr">
        <is>
          <t>hybrid</t>
        </is>
      </c>
      <c r="C134" s="10" t="n">
        <v>3</v>
      </c>
      <c r="D134" s="10" t="inlineStr">
        <is>
          <t>No</t>
        </is>
      </c>
      <c r="E134" s="11" t="inlineStr">
        <is>
          <t>Business_Analytics_Textbook_Cengage_pg_1_300.pdf</t>
        </is>
      </c>
      <c r="F134" s="11" t="inlineStr">
        <is>
          <t>page 30</t>
        </is>
      </c>
      <c r="G134" s="18" t="n">
        <v>0.02965367957949638</v>
      </c>
      <c r="H134" s="18" t="n"/>
      <c r="I134" s="11" t="inlineStr">
        <is>
          <t>exactly how long each step in a project will take to be completed, we could better predict the project’s cost and completion date. If we knew how stocks will perform, investing would be a lot easier. Another factor that...</t>
        </is>
      </c>
    </row>
    <row r="135" ht="132" customHeight="1" s="21">
      <c r="A135" s="10" t="n">
        <v>7</v>
      </c>
      <c r="B135" s="11" t="inlineStr">
        <is>
          <t>hybrid</t>
        </is>
      </c>
      <c r="C135" s="10" t="n">
        <v>4</v>
      </c>
      <c r="D135" s="10" t="inlineStr">
        <is>
          <t>No</t>
        </is>
      </c>
      <c r="E135" s="11" t="inlineStr">
        <is>
          <t>Business_Analytics_Textbook_Cengage_pg_1_300.pdf</t>
        </is>
      </c>
      <c r="F135" s="11" t="inlineStr">
        <is>
          <t>page 34</t>
        </is>
      </c>
      <c r="G135" s="18" t="n">
        <v>0.02862400189042091</v>
      </c>
      <c r="H135" s="18" t="n"/>
      <c r="I135" s="11" t="inlineStr">
        <is>
          <t>8 Chapter 1 Introduction Volume Because data are collected electronically, we are able to collect more of it. To be useful, these data must be stored, and this storage has led to vast quantities of data. Many compa- nies...</t>
        </is>
      </c>
    </row>
    <row r="136" ht="145.2" customHeight="1" s="21">
      <c r="A136" s="10" t="n">
        <v>7</v>
      </c>
      <c r="B136" s="11" t="inlineStr">
        <is>
          <t>hybrid</t>
        </is>
      </c>
      <c r="C136" s="10" t="n">
        <v>5</v>
      </c>
      <c r="D136" s="10" t="inlineStr">
        <is>
          <t>No</t>
        </is>
      </c>
      <c r="E136" s="11" t="inlineStr">
        <is>
          <t>Business analytics - Wikipedia</t>
        </is>
      </c>
      <c r="F136" s="11" t="n"/>
      <c r="G136" s="18" t="n">
        <v>0.02837301790714264</v>
      </c>
      <c r="H136" s="18" t="n"/>
      <c r="I136" s="11" t="inlineStr">
        <is>
          <t>have been used in business since management exercises were put into place by Frederick Winslow Taylor in the late 19th century. Henry Ford measured the time of each component in his newly established assembly line. Howev...</t>
        </is>
      </c>
    </row>
    <row r="137" ht="158.4" customHeight="1" s="21">
      <c r="A137" s="10" t="n">
        <v>7</v>
      </c>
      <c r="B137" s="11" t="inlineStr">
        <is>
          <t>hybrid_semantic</t>
        </is>
      </c>
      <c r="C137" s="10" t="n">
        <v>1</v>
      </c>
      <c r="D137" s="10" t="inlineStr">
        <is>
          <t>No</t>
        </is>
      </c>
      <c r="E137" s="11" t="inlineStr">
        <is>
          <t>Business analytics - Wikipedia</t>
        </is>
      </c>
      <c r="F137" s="11" t="n"/>
      <c r="G137" s="18" t="n">
        <v>0.0161290317773819</v>
      </c>
      <c r="H137" s="18" t="n">
        <v>2.294297933578491</v>
      </c>
      <c r="I137" s="11" t="inlineStr">
        <is>
          <t>analytics focusses on prediction and prescription. [ 1 ] Business analytics makes extensive use of analytical modeling and numerical analysis, including explanatory and predictive modeling , [ 2 ] and fact-based manageme...</t>
        </is>
      </c>
    </row>
    <row r="138" ht="158.4" customHeight="1" s="21">
      <c r="A138" s="10" t="n">
        <v>7</v>
      </c>
      <c r="B138" s="11" t="inlineStr">
        <is>
          <t>hybrid_semantic</t>
        </is>
      </c>
      <c r="C138" s="10" t="n">
        <v>2</v>
      </c>
      <c r="D138" s="10" t="inlineStr">
        <is>
          <t>No</t>
        </is>
      </c>
      <c r="E138" s="11" t="inlineStr">
        <is>
          <t>Business_Analytics_Textbook_Cengage_pg_1_300.pdf</t>
        </is>
      </c>
      <c r="F138" s="11" t="inlineStr">
        <is>
          <t>page 49</t>
        </is>
      </c>
      <c r="G138" s="18" t="n">
        <v>0.03053613007068634</v>
      </c>
      <c r="H138" s="18" t="n">
        <v>2.252603530883789</v>
      </c>
      <c r="I138" s="11" t="inlineStr">
        <is>
          <t>use of existing data sources is desirable when data must be obtained in a relatively short period of time. If important data are not readily available from a reliable existing source, the additional time and cost involve...</t>
        </is>
      </c>
    </row>
    <row r="139" ht="158.4" customHeight="1" s="21">
      <c r="A139" s="10" t="n">
        <v>7</v>
      </c>
      <c r="B139" s="11" t="inlineStr">
        <is>
          <t>hybrid_semantic</t>
        </is>
      </c>
      <c r="C139" s="10" t="n">
        <v>3</v>
      </c>
      <c r="D139" s="10" t="inlineStr">
        <is>
          <t>No</t>
        </is>
      </c>
      <c r="E139" s="11" t="inlineStr">
        <is>
          <t>Business_Analytics_Textbook_Cengage_pg_1_300.pdf</t>
        </is>
      </c>
      <c r="F139" s="11" t="inlineStr">
        <is>
          <t>page 49</t>
        </is>
      </c>
      <c r="G139" s="18" t="n">
        <v>0.02284730225801468</v>
      </c>
      <c r="H139" s="18" t="n">
        <v>2.192221879959106</v>
      </c>
      <c r="I139" s="11" t="inlineStr">
        <is>
          <t>who fill out the questionnaire are asked to provide ratings for 12 variables, including overall experience, the greeting by hostess, the table visit by the manager, overall service, and so on. The response categories of...</t>
        </is>
      </c>
    </row>
    <row r="140" ht="158.4" customHeight="1" s="21">
      <c r="A140" s="10" t="n">
        <v>7</v>
      </c>
      <c r="B140" s="11" t="inlineStr">
        <is>
          <t>hybrid_semantic</t>
        </is>
      </c>
      <c r="C140" s="10" t="n">
        <v>4</v>
      </c>
      <c r="D140" s="10" t="inlineStr">
        <is>
          <t>No</t>
        </is>
      </c>
      <c r="E140" s="11" t="inlineStr">
        <is>
          <t>Business_Analytics_Textbook_Cengage_pg_1_300.pdf</t>
        </is>
      </c>
      <c r="F140" s="11" t="inlineStr">
        <is>
          <t>page 30</t>
        </is>
      </c>
      <c r="G140" s="18" t="n">
        <v>0.02965367957949638</v>
      </c>
      <c r="H140" s="18" t="n">
        <v>2.191429853439331</v>
      </c>
      <c r="I140" s="11" t="inlineStr">
        <is>
          <t>exactly how long each step in a project will take to be completed, we could better predict the project’s cost and completion date. If we knew how stocks will perform, investing would be a lot easier. Another factor that...</t>
        </is>
      </c>
    </row>
    <row r="141" ht="158.4" customHeight="1" s="21">
      <c r="A141" s="10" t="n">
        <v>7</v>
      </c>
      <c r="B141" s="11" t="inlineStr">
        <is>
          <t>hybrid_semantic</t>
        </is>
      </c>
      <c r="C141" s="10" t="n">
        <v>5</v>
      </c>
      <c r="D141" s="10" t="inlineStr">
        <is>
          <t>No</t>
        </is>
      </c>
      <c r="E141" s="11" t="inlineStr">
        <is>
          <t>Business_Analytics_Textbook_Cengage_pg_1_300.pdf</t>
        </is>
      </c>
      <c r="F141" s="11" t="inlineStr">
        <is>
          <t>page 30</t>
        </is>
      </c>
      <c r="G141" s="18" t="n">
        <v>0.03252247348427773</v>
      </c>
      <c r="H141" s="18" t="n">
        <v>2.168051719665527</v>
      </c>
      <c r="I141" s="11" t="inlineStr">
        <is>
          <t>(steps 3 and 4) be devised. Decision making con- cludes with the choice of one of the alternatives (step 5). There are a number of approaches to making decisions: tradition (“We’ve always done it this way”), intuition (“...</t>
        </is>
      </c>
    </row>
    <row r="142" ht="171.6" customHeight="1" s="21">
      <c r="A142" s="10" t="n">
        <v>8</v>
      </c>
      <c r="B142" s="11" t="inlineStr">
        <is>
          <t>keyword</t>
        </is>
      </c>
      <c r="C142" s="10" t="n">
        <v>1</v>
      </c>
      <c r="D142" s="10" t="inlineStr">
        <is>
          <t>n/a</t>
        </is>
      </c>
      <c r="E142" s="11" t="inlineStr">
        <is>
          <t>Business_Analytics_Textbook_Cengage_pg_1_300.pdf</t>
        </is>
      </c>
      <c r="F142" s="11" t="inlineStr">
        <is>
          <t>page 28</t>
        </is>
      </c>
      <c r="G142" s="18" t="n">
        <v>11.839279</v>
      </c>
      <c r="H142" s="18" t="n"/>
      <c r="I142" s="11" t="inlineStr">
        <is>
          <t>you are to default on a loan. Similarly, Amazon.com has access to data on millions of purchases made by customers on its web site. Amazon.com examines your previous purchases, the products you have viewed, and any produc...</t>
        </is>
      </c>
    </row>
    <row r="143" ht="158.4" customHeight="1" s="21">
      <c r="A143" s="10" t="n">
        <v>8</v>
      </c>
      <c r="B143" s="11" t="inlineStr">
        <is>
          <t>keyword</t>
        </is>
      </c>
      <c r="C143" s="10" t="n">
        <v>2</v>
      </c>
      <c r="D143" s="10" t="inlineStr">
        <is>
          <t>n/a</t>
        </is>
      </c>
      <c r="E143" s="11" t="inlineStr">
        <is>
          <t>Business_Analytics_Textbook_Cengage_pg_1_300.pdf</t>
        </is>
      </c>
      <c r="F143" s="11" t="inlineStr">
        <is>
          <t>page 118</t>
        </is>
      </c>
      <c r="G143" s="18" t="n">
        <v>8.276667</v>
      </c>
      <c r="H143" s="18" t="n"/>
      <c r="I143" s="11" t="inlineStr">
        <is>
          <t>data and to indicate that a calculation has occurred to generate the Profits row and the Total column. In large tables, vertical lines or light shading can be useful to help the reader differenti- ate the columns and row...</t>
        </is>
      </c>
    </row>
    <row r="144" ht="158.4" customHeight="1" s="21">
      <c r="A144" s="10" t="n">
        <v>8</v>
      </c>
      <c r="B144" s="11" t="inlineStr">
        <is>
          <t>keyword</t>
        </is>
      </c>
      <c r="C144" s="10" t="n">
        <v>3</v>
      </c>
      <c r="D144" s="10" t="inlineStr">
        <is>
          <t>n/a</t>
        </is>
      </c>
      <c r="E144" s="11" t="inlineStr">
        <is>
          <t>Business_Analytics_Textbook_Cengage_pg_1_300.pdf</t>
        </is>
      </c>
      <c r="F144" s="11" t="inlineStr">
        <is>
          <t>page 36</t>
        </is>
      </c>
      <c r="G144" s="18" t="n">
        <v>8.148889</v>
      </c>
      <c r="H144" s="18" t="n"/>
      <c r="I144" s="11" t="inlineStr">
        <is>
          <t>and government. Organi- zations such as Procter &amp; Gamble, IBM, UPS, Netflix, Amazon.com, Google, the Internal Revenue Service, and General Electric have embraced analytics to solve important prob- lems or to achieve a co...</t>
        </is>
      </c>
    </row>
    <row r="145" ht="132" customHeight="1" s="21">
      <c r="A145" s="10" t="n">
        <v>8</v>
      </c>
      <c r="B145" s="11" t="inlineStr">
        <is>
          <t>keyword</t>
        </is>
      </c>
      <c r="C145" s="10" t="n">
        <v>4</v>
      </c>
      <c r="D145" s="10" t="inlineStr">
        <is>
          <t>n/a</t>
        </is>
      </c>
      <c r="E145" s="11" t="inlineStr">
        <is>
          <t>Business_Analytics_Textbook_Cengage_pg_1_300.pdf</t>
        </is>
      </c>
      <c r="F145" s="11" t="inlineStr">
        <is>
          <t>page 28</t>
        </is>
      </c>
      <c r="G145" s="18" t="n">
        <v>7.5444546</v>
      </c>
      <c r="H145" s="18" t="n"/>
      <c r="I145" s="11" t="inlineStr">
        <is>
          <t>2 Chapter 1 Introduction You apply for a loan for the first time. How does the bank assess the riskiness of the loan it might make to you? How does Amazon.com know which books and other products to recommend to you when...</t>
        </is>
      </c>
    </row>
    <row r="146" ht="145.2" customHeight="1" s="21">
      <c r="A146" s="10" t="n">
        <v>8</v>
      </c>
      <c r="B146" s="11" t="inlineStr">
        <is>
          <t>keyword</t>
        </is>
      </c>
      <c r="C146" s="10" t="n">
        <v>5</v>
      </c>
      <c r="D146" s="10" t="inlineStr">
        <is>
          <t>n/a</t>
        </is>
      </c>
      <c r="E146" s="11" t="inlineStr">
        <is>
          <t>Business_Analytics_Textbook_Cengage_pg_1_300.pdf</t>
        </is>
      </c>
      <c r="F146" s="11" t="inlineStr">
        <is>
          <t>page 119</t>
        </is>
      </c>
      <c r="G146" s="18" t="n">
        <v>7.1073236</v>
      </c>
      <c r="H146" s="18" t="n"/>
      <c r="I146" s="11" t="inlineStr">
        <is>
          <t>3.2 t ables 93 and shows 12 months of revenue and cost data. In Table 3.5, every other column has been lightly shaded. This helps the reader quickly scan the table to see which values correspond with each month. The hori...</t>
        </is>
      </c>
    </row>
    <row r="147" ht="118.8" customHeight="1" s="21">
      <c r="A147" s="10" t="n">
        <v>8</v>
      </c>
      <c r="B147" s="11" t="inlineStr">
        <is>
          <t>vector</t>
        </is>
      </c>
      <c r="C147" s="10" t="n">
        <v>1</v>
      </c>
      <c r="D147" s="10" t="inlineStr">
        <is>
          <t>n/a</t>
        </is>
      </c>
      <c r="E147" s="11" t="inlineStr">
        <is>
          <t>Business_Analytics_Textbook_Cengage_pg_1_300.pdf</t>
        </is>
      </c>
      <c r="F147" s="11" t="inlineStr">
        <is>
          <t>page 156</t>
        </is>
      </c>
      <c r="G147" s="18" t="n">
        <v>0.6455802</v>
      </c>
      <c r="H147" s="18" t="n"/>
      <c r="I147" s="11" t="inlineStr">
        <is>
          <t>758,320,889,024 916,931,817,944 982,991,358,955 934,168,969,952 1,178,776,680,167 Austria 272,865,358,404 290,682,488,352 336,840,690,493 375,777,347,214 344,514,388,622 341,440,991,770 Belgium 335,571,307,765 355,372,71...</t>
        </is>
      </c>
    </row>
    <row r="148" ht="158.4" customHeight="1" s="21">
      <c r="A148" s="10" t="n">
        <v>8</v>
      </c>
      <c r="B148" s="11" t="inlineStr">
        <is>
          <t>vector</t>
        </is>
      </c>
      <c r="C148" s="10" t="n">
        <v>2</v>
      </c>
      <c r="D148" s="10" t="inlineStr">
        <is>
          <t>n/a</t>
        </is>
      </c>
      <c r="E148" s="11" t="inlineStr">
        <is>
          <t>Business_Analytics_Textbook_Cengage_pg_1_300.pdf</t>
        </is>
      </c>
      <c r="F148" s="11" t="inlineStr">
        <is>
          <t>page 156</t>
        </is>
      </c>
      <c r="G148" s="18" t="n">
        <v>0.61081696</v>
      </c>
      <c r="H148" s="18" t="n"/>
      <c r="I148" s="11" t="inlineStr">
        <is>
          <t>Division on 30 countries and their GDP values from Year 1 to Year 6 in US $. Create a table that provides all these data for a user. Format the table to make it as easy to read as possible. Hint: It is generally not impo...</t>
        </is>
      </c>
    </row>
    <row r="149" ht="105.6" customHeight="1" s="21">
      <c r="A149" s="10" t="n">
        <v>8</v>
      </c>
      <c r="B149" s="11" t="inlineStr">
        <is>
          <t>vector</t>
        </is>
      </c>
      <c r="C149" s="10" t="n">
        <v>3</v>
      </c>
      <c r="D149" s="10" t="inlineStr">
        <is>
          <t>n/a</t>
        </is>
      </c>
      <c r="E149" s="11" t="inlineStr">
        <is>
          <t>Business_Analytics_Textbook_Cengage_pg_1_300.pdf</t>
        </is>
      </c>
      <c r="F149" s="11" t="inlineStr">
        <is>
          <t>page 119</t>
        </is>
      </c>
      <c r="G149" s="18" t="n">
        <v>0.6060666</v>
      </c>
      <c r="H149" s="18" t="n"/>
      <c r="I149" s="11" t="inlineStr">
        <is>
          <t>C: 6 Total5 4 3 2 1 Costs ($) Revenues ($) Pro/f_its ($) 48,123 64,124 16,001 56,458 66,128 9,670 64,125 67,125 3,000 52,158 48,178 (3,980) 54,718 51,785 (2,933) 50,985 55,687 4,702 326,567 353,027 26,460 Month Design D:...</t>
        </is>
      </c>
    </row>
    <row r="150" ht="145.2" customHeight="1" s="21">
      <c r="A150" s="10" t="n">
        <v>8</v>
      </c>
      <c r="B150" s="11" t="inlineStr">
        <is>
          <t>vector</t>
        </is>
      </c>
      <c r="C150" s="10" t="n">
        <v>4</v>
      </c>
      <c r="D150" s="10" t="inlineStr">
        <is>
          <t>n/a</t>
        </is>
      </c>
      <c r="E150" s="11" t="inlineStr">
        <is>
          <t>Business_Analytics_Textbook_Cengage_pg_1_300.pdf</t>
        </is>
      </c>
      <c r="F150" s="11" t="inlineStr">
        <is>
          <t>page 120</t>
        </is>
      </c>
      <c r="G150" s="18" t="n">
        <v>0.6060394</v>
      </c>
      <c r="H150" s="18" t="n"/>
      <c r="I150" s="11" t="inlineStr">
        <is>
          <t>94 Month Revenues by Location ($) 1 2 3 4 5 6 7 8 9 10 11 12 Total Temple 8,987 8,595 8,958 6,718 8,066 8,574 8,701 9,490 9,610 9,262 9,875 11,058 107,895 Killeen 8,212 9,143 8,714 6,869 8,150 8,891 8,766 9,193 9,603 10,...</t>
        </is>
      </c>
    </row>
    <row r="151" ht="79.2" customHeight="1" s="21">
      <c r="A151" s="10" t="n">
        <v>8</v>
      </c>
      <c r="B151" s="11" t="inlineStr">
        <is>
          <t>vector</t>
        </is>
      </c>
      <c r="C151" s="10" t="n">
        <v>5</v>
      </c>
      <c r="D151" s="10" t="inlineStr">
        <is>
          <t>n/a</t>
        </is>
      </c>
      <c r="E151" s="11" t="inlineStr">
        <is>
          <t>Business_Analytics_Textbook_Cengage_pg_1_300.pdf</t>
        </is>
      </c>
      <c r="F151" s="11" t="inlineStr">
        <is>
          <t>page 120</t>
        </is>
      </c>
      <c r="G151" s="18" t="n">
        <v>0.6009091</v>
      </c>
      <c r="H151" s="18" t="n"/>
      <c r="I151" s="11" t="inlineStr">
        <is>
          <t>69,125 69,258 759,079 Costs ($) 48,123 56,458 64,125 52,158 54,718 50,985 57,898 62,050 65,215 61,819 67,828 69,558 710,935 larger table showing Revenues by location for 12 Months of DatatAble 3.5 Copyright 2021 Cengage...</t>
        </is>
      </c>
    </row>
    <row r="152" ht="171.6" customHeight="1" s="21">
      <c r="A152" s="10" t="n">
        <v>8</v>
      </c>
      <c r="B152" s="11" t="inlineStr">
        <is>
          <t>hybrid</t>
        </is>
      </c>
      <c r="C152" s="10" t="n">
        <v>1</v>
      </c>
      <c r="D152" s="10" t="inlineStr">
        <is>
          <t>n/a</t>
        </is>
      </c>
      <c r="E152" s="11" t="inlineStr">
        <is>
          <t>Business_Analytics_Textbook_Cengage_pg_1_300.pdf</t>
        </is>
      </c>
      <c r="F152" s="11" t="inlineStr">
        <is>
          <t>page 28</t>
        </is>
      </c>
      <c r="G152" s="18" t="n">
        <v>0.03159204125404358</v>
      </c>
      <c r="H152" s="18" t="n"/>
      <c r="I152" s="11" t="inlineStr">
        <is>
          <t>you are to default on a loan. Similarly, Amazon.com has access to data on millions of purchases made by customers on its web site. Amazon.com examines your previous purchases, the products you have viewed, and any produc...</t>
        </is>
      </c>
    </row>
    <row r="153" ht="132" customHeight="1" s="21">
      <c r="A153" s="10" t="n">
        <v>8</v>
      </c>
      <c r="B153" s="11" t="inlineStr">
        <is>
          <t>hybrid</t>
        </is>
      </c>
      <c r="C153" s="10" t="n">
        <v>2</v>
      </c>
      <c r="D153" s="10" t="inlineStr">
        <is>
          <t>n/a</t>
        </is>
      </c>
      <c r="E153" s="11" t="inlineStr">
        <is>
          <t>Business_Analytics_Textbook_Cengage_pg_1_300.pdf</t>
        </is>
      </c>
      <c r="F153" s="11" t="inlineStr">
        <is>
          <t>page 28</t>
        </is>
      </c>
      <c r="G153" s="18" t="n">
        <v>0.03102453239262104</v>
      </c>
      <c r="H153" s="18" t="n"/>
      <c r="I153" s="11" t="inlineStr">
        <is>
          <t>2 Chapter 1 Introduction You apply for a loan for the first time. How does the bank assess the riskiness of the loan it might make to you? How does Amazon.com know which books and other products to recommend to you when...</t>
        </is>
      </c>
    </row>
    <row r="154" ht="145.2" customHeight="1" s="21">
      <c r="A154" s="10" t="n">
        <v>8</v>
      </c>
      <c r="B154" s="11" t="inlineStr">
        <is>
          <t>hybrid</t>
        </is>
      </c>
      <c r="C154" s="10" t="n">
        <v>3</v>
      </c>
      <c r="D154" s="10" t="inlineStr">
        <is>
          <t>n/a</t>
        </is>
      </c>
      <c r="E154" s="11" t="inlineStr">
        <is>
          <t>Business_Analytics_Textbook_Cengage_pg_1_300.pdf</t>
        </is>
      </c>
      <c r="F154" s="11" t="inlineStr">
        <is>
          <t>page 120</t>
        </is>
      </c>
      <c r="G154" s="18" t="n">
        <v>0.03079839050769806</v>
      </c>
      <c r="H154" s="18" t="n"/>
      <c r="I154" s="11" t="inlineStr">
        <is>
          <t>94 Month Revenues by Location ($) 1 2 3 4 5 6 7 8 9 10 11 12 Total Temple 8,987 8,595 8,958 6,718 8,066 8,574 8,701 9,490 9,610 9,262 9,875 11,058 107,895 Killeen 8,212 9,143 8,714 6,869 8,150 8,891 8,766 9,193 9,603 10,...</t>
        </is>
      </c>
    </row>
    <row r="155" ht="158.4" customHeight="1" s="21">
      <c r="A155" s="10" t="n">
        <v>8</v>
      </c>
      <c r="B155" s="11" t="inlineStr">
        <is>
          <t>hybrid</t>
        </is>
      </c>
      <c r="C155" s="10" t="n">
        <v>4</v>
      </c>
      <c r="D155" s="10" t="inlineStr">
        <is>
          <t>n/a</t>
        </is>
      </c>
      <c r="E155" s="11" t="inlineStr">
        <is>
          <t>Business_Analytics_Textbook_Cengage_pg_1_300.pdf</t>
        </is>
      </c>
      <c r="F155" s="11" t="inlineStr">
        <is>
          <t>page 156</t>
        </is>
      </c>
      <c r="G155" s="18" t="n">
        <v>0.02889344096183777</v>
      </c>
      <c r="H155" s="18" t="n"/>
      <c r="I155" s="11" t="inlineStr">
        <is>
          <t>Division on 30 countries and their GDP values from Year 1 to Year 6 in US $. Create a table that provides all these data for a user. Format the table to make it as easy to read as possible. Hint: It is generally not impo...</t>
        </is>
      </c>
    </row>
    <row r="156" ht="158.4" customHeight="1" s="21">
      <c r="A156" s="10" t="n">
        <v>8</v>
      </c>
      <c r="B156" s="11" t="inlineStr">
        <is>
          <t>hybrid</t>
        </is>
      </c>
      <c r="C156" s="10" t="n">
        <v>5</v>
      </c>
      <c r="D156" s="10" t="inlineStr">
        <is>
          <t>n/a</t>
        </is>
      </c>
      <c r="E156" s="11" t="inlineStr">
        <is>
          <t>Business_Analytics_Textbook_Cengage_pg_1_300.pdf</t>
        </is>
      </c>
      <c r="F156" s="11" t="inlineStr">
        <is>
          <t>page 148</t>
        </is>
      </c>
      <c r="G156" s="18" t="n">
        <v>0.02714932151138783</v>
      </c>
      <c r="H156" s="18" t="n"/>
      <c r="I156" s="11" t="inlineStr">
        <is>
          <t>Value (Billions US $) Top 100 Global Companies by Market Value North America Europe Asia Australia Europe North America South America Apple Berkshire Hathaway Wal-Mart Stores JPMorgan Chase Procter &amp; GambleChevron Pfizer...</t>
        </is>
      </c>
    </row>
    <row r="157" ht="158.4" customHeight="1" s="21">
      <c r="A157" s="10" t="n">
        <v>8</v>
      </c>
      <c r="B157" s="11" t="inlineStr">
        <is>
          <t>hybrid_semantic</t>
        </is>
      </c>
      <c r="C157" s="10" t="n">
        <v>1</v>
      </c>
      <c r="D157" s="10" t="inlineStr">
        <is>
          <t>n/a</t>
        </is>
      </c>
      <c r="E157" s="11" t="inlineStr">
        <is>
          <t>Business_Analytics_Textbook_Cengage_pg_1_300.pdf</t>
        </is>
      </c>
      <c r="F157" s="11" t="inlineStr">
        <is>
          <t>page 148</t>
        </is>
      </c>
      <c r="G157" s="18" t="n">
        <v>0.02714932151138783</v>
      </c>
      <c r="H157" s="18" t="n">
        <v>1.924320816993713</v>
      </c>
      <c r="I157" s="11" t="inlineStr">
        <is>
          <t>Value (Billions US $) Top 100 Global Companies by Market Value North America Europe Asia Australia Europe North America South America Apple Berkshire Hathaway Wal-Mart Stores JPMorgan Chase Procter &amp; GambleChevron Pfizer...</t>
        </is>
      </c>
    </row>
    <row r="158" ht="79.2" customHeight="1" s="21">
      <c r="A158" s="10" t="n">
        <v>8</v>
      </c>
      <c r="B158" s="11" t="inlineStr">
        <is>
          <t>hybrid_semantic</t>
        </is>
      </c>
      <c r="C158" s="10" t="n">
        <v>2</v>
      </c>
      <c r="D158" s="10" t="inlineStr">
        <is>
          <t>n/a</t>
        </is>
      </c>
      <c r="E158" s="11" t="inlineStr">
        <is>
          <t>Business_Analytics_Textbook_Cengage_pg_1_300.pdf</t>
        </is>
      </c>
      <c r="F158" s="11" t="inlineStr">
        <is>
          <t>page 120</t>
        </is>
      </c>
      <c r="G158" s="18" t="n">
        <v>0.02325858734548092</v>
      </c>
      <c r="H158" s="18" t="n">
        <v>1.762860178947449</v>
      </c>
      <c r="I158" s="11" t="inlineStr">
        <is>
          <t>69,125 69,258 759,079 Costs ($) 48,123 56,458 64,125 52,158 54,718 50,985 57,898 62,050 65,215 61,819 67,828 69,558 710,935 larger table showing Revenues by location for 12 Months of DatatAble 3.5 Copyright 2021 Cengage...</t>
        </is>
      </c>
    </row>
    <row r="159" ht="132" customHeight="1" s="21">
      <c r="A159" s="10" t="n">
        <v>8</v>
      </c>
      <c r="B159" s="11" t="inlineStr">
        <is>
          <t>hybrid_semantic</t>
        </is>
      </c>
      <c r="C159" s="10" t="n">
        <v>3</v>
      </c>
      <c r="D159" s="10" t="inlineStr">
        <is>
          <t>n/a</t>
        </is>
      </c>
      <c r="E159" s="11" t="inlineStr">
        <is>
          <t>Business_Analytics_Textbook_Cengage_pg_1_300.pdf</t>
        </is>
      </c>
      <c r="F159" s="11" t="inlineStr">
        <is>
          <t>page 36</t>
        </is>
      </c>
      <c r="G159" s="18" t="n">
        <v>0.01538461539894342</v>
      </c>
      <c r="H159" s="18" t="n">
        <v>1.520757675170898</v>
      </c>
      <c r="I159" s="11" t="inlineStr">
        <is>
          <t>10 Chapter 1 Introduction analytics is that it provides useful insights and better decision making using the data that are available—whether those data are “big” or “small.” 1.5 Business Analytics in Practice Business an...</t>
        </is>
      </c>
    </row>
    <row r="160" ht="105.6" customHeight="1" s="21">
      <c r="A160" s="10" t="n">
        <v>8</v>
      </c>
      <c r="B160" s="11" t="inlineStr">
        <is>
          <t>hybrid_semantic</t>
        </is>
      </c>
      <c r="C160" s="10" t="n">
        <v>4</v>
      </c>
      <c r="D160" s="10" t="inlineStr">
        <is>
          <t>n/a</t>
        </is>
      </c>
      <c r="E160" s="11" t="inlineStr">
        <is>
          <t>Business_Analytics_Textbook_Cengage_pg_1_300.pdf</t>
        </is>
      </c>
      <c r="F160" s="11" t="inlineStr">
        <is>
          <t>page 119</t>
        </is>
      </c>
      <c r="G160" s="18" t="n">
        <v>0.02676732838153839</v>
      </c>
      <c r="H160" s="18" t="n">
        <v>1.516504049301147</v>
      </c>
      <c r="I160" s="11" t="inlineStr">
        <is>
          <t>C: 6 Total5 4 3 2 1 Costs ($) Revenues ($) Pro/f_its ($) 48,123 64,124 16,001 56,458 66,128 9,670 64,125 67,125 3,000 52,158 48,178 (3,980) 54,718 51,785 (2,933) 50,985 55,687 4,702 326,567 353,027 26,460 Month Design D:...</t>
        </is>
      </c>
    </row>
    <row r="161" ht="158.4" customHeight="1" s="21">
      <c r="A161" s="10" t="n">
        <v>8</v>
      </c>
      <c r="B161" s="11" t="inlineStr">
        <is>
          <t>hybrid_semantic</t>
        </is>
      </c>
      <c r="C161" s="10" t="n">
        <v>5</v>
      </c>
      <c r="D161" s="10" t="inlineStr">
        <is>
          <t>n/a</t>
        </is>
      </c>
      <c r="E161" s="11" t="inlineStr">
        <is>
          <t>Business_Analytics_Textbook_Cengage_pg_1_300.pdf</t>
        </is>
      </c>
      <c r="F161" s="11" t="inlineStr">
        <is>
          <t>page 117</t>
        </is>
      </c>
      <c r="G161" s="18" t="n">
        <v>0.01515151560306549</v>
      </c>
      <c r="H161" s="18" t="n">
        <v>1.505515575408936</v>
      </c>
      <c r="I161" s="11" t="inlineStr">
        <is>
          <t>a line chart as seen in Figure 3.5. Notice that it is very difficult to determine the monthly revenues and costs in Figure 3.5. We could add these values using data labels, but they would clutter the figure. The preferre...</t>
        </is>
      </c>
    </row>
  </sheetData>
  <autoFilter ref="A1:I161"/>
  <conditionalFormatting sqref="D2:D161">
    <cfRule type="cellIs" priority="1" operator="equal" dxfId="0">
      <formula>"Yes"</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xSplit="3" ySplit="1" topLeftCell="D27" activePane="bottomRight" state="frozen"/>
      <selection pane="topRight" activeCell="A1" sqref="A1"/>
      <selection pane="bottomLeft" activeCell="A1" sqref="A1"/>
      <selection pane="bottomRight" activeCell="D27" sqref="D27"/>
    </sheetView>
  </sheetViews>
  <sheetFormatPr baseColWidth="8" defaultRowHeight="14.4"/>
  <cols>
    <col width="5" customWidth="1" style="21" min="1" max="1"/>
    <col width="16" customWidth="1" style="21" min="2" max="2"/>
    <col width="40" customWidth="1" style="21" min="3" max="3"/>
    <col width="110" customWidth="1" style="21" min="4" max="4"/>
    <col width="16" customWidth="1" style="21" min="5" max="5"/>
  </cols>
  <sheetData>
    <row r="1" ht="39.6" customHeight="1" s="21">
      <c r="A1" s="5" t="inlineStr">
        <is>
          <t>Q#</t>
        </is>
      </c>
      <c r="B1" s="5" t="inlineStr">
        <is>
          <t>Method</t>
        </is>
      </c>
      <c r="C1" s="5" t="inlineStr">
        <is>
          <t>Question</t>
        </is>
      </c>
      <c r="D1" s="5" t="inlineStr">
        <is>
          <t>Answer</t>
        </is>
      </c>
      <c r="E1" s="5" t="inlineStr">
        <is>
          <t>Answer quality (from Per Question)</t>
        </is>
      </c>
    </row>
    <row r="2" ht="118.8" customHeight="1" s="21">
      <c r="A2" s="10" t="n">
        <v>1</v>
      </c>
      <c r="B2" s="11" t="inlineStr">
        <is>
          <t>keyword</t>
        </is>
      </c>
      <c r="C2" s="11" t="inlineStr">
        <is>
          <t>According to the textbook, what are the four Vs that IBM uses to describe big data?</t>
        </is>
      </c>
      <c r="D2" s="11" t="inlineStr">
        <is>
          <t>According to the textbook, IBM describes big data through the **four Vs**:
- **Volume** — large amounts of data, from terabytes to exabytes [3]
- **Velocity** — data in motion, such as streaming data requiring rapid response [3]
- **Variety** — data in many forms, including structured, unstructured, text, and multimedia [3]
- **Veracity** — uncertainty in the data due to inconsistency, incompleteness, ambiguity, latency, deception, or model approximations [3]
These four Vs are identified as IBM’s description of the big data phenomenon [2].</t>
        </is>
      </c>
      <c r="E2" s="19">
        <f>IF('Per Question'!N2="","",'Per Question'!N2)</f>
        <v/>
      </c>
    </row>
    <row r="3" ht="105.6" customHeight="1" s="21">
      <c r="A3" s="10" t="n">
        <v>1</v>
      </c>
      <c r="B3" s="11" t="inlineStr">
        <is>
          <t>vector</t>
        </is>
      </c>
      <c r="C3" s="11" t="inlineStr">
        <is>
          <t>According to the textbook, what are the four Vs that IBM uses to describe big data?</t>
        </is>
      </c>
      <c r="D3" s="11" t="inlineStr">
        <is>
          <t>According to the textbook, IBM describes big data through the **four Vs**:
- **Volume**
- **Velocity**
- **Variety**
- **Veracity**
[1][2]</t>
        </is>
      </c>
      <c r="E3" s="19">
        <f>IF('Per Question'!N3="","",'Per Question'!N3)</f>
        <v/>
      </c>
    </row>
    <row r="4" ht="105.6" customHeight="1" s="21">
      <c r="A4" s="10" t="n">
        <v>1</v>
      </c>
      <c r="B4" s="11" t="inlineStr">
        <is>
          <t>hybrid</t>
        </is>
      </c>
      <c r="C4" s="11" t="inlineStr">
        <is>
          <t>According to the textbook, what are the four Vs that IBM uses to describe big data?</t>
        </is>
      </c>
      <c r="D4" s="11" t="inlineStr">
        <is>
          <t>According to the textbook, IBM describes big data through the **four Vs**:
- **Volume**
- **Velocity**
- **Variety**
- **Veracity**
[1][2]</t>
        </is>
      </c>
      <c r="E4" s="19">
        <f>IF('Per Question'!N4="","",'Per Question'!N4)</f>
        <v/>
      </c>
    </row>
    <row r="5" ht="105.6" customHeight="1" s="21">
      <c r="A5" s="10" t="n">
        <v>1</v>
      </c>
      <c r="B5" s="11" t="inlineStr">
        <is>
          <t>hybrid_semantic</t>
        </is>
      </c>
      <c r="C5" s="11" t="inlineStr">
        <is>
          <t>According to the textbook, what are the four Vs that IBM uses to describe big data?</t>
        </is>
      </c>
      <c r="D5" s="11" t="inlineStr">
        <is>
          <t>According to the textbook, IBM describes big data using the **four Vs**:
- **Volume**
- **Velocity**
- **Variety**
- **Veracity**
[1][2]</t>
        </is>
      </c>
      <c r="E5" s="19">
        <f>IF('Per Question'!N5="","",'Per Question'!N5)</f>
        <v/>
      </c>
    </row>
    <row r="6" ht="52.8" customHeight="1" s="21">
      <c r="A6" s="10" t="n">
        <v>2</v>
      </c>
      <c r="B6" s="11" t="inlineStr">
        <is>
          <t>keyword</t>
        </is>
      </c>
      <c r="C6" s="11" t="inlineStr">
        <is>
          <t>How many pieces of direct mail does Kroger send to its customers each quarter, and how are the coupons chosen?</t>
        </is>
      </c>
      <c r="D6" s="11" t="inlineStr">
        <is>
          <t>Kroger sends **over 11 million pieces of direct mail** to its customers each quarter [1].
The coupons are chosen by **tailoring 12 coupons in each quarterly mailer to each household**, based on **several years of shopping data collected through Kroger’s customer loyalty card program** [1].</t>
        </is>
      </c>
      <c r="E6" s="19">
        <f>IF('Per Question'!N6="","",'Per Question'!N6)</f>
        <v/>
      </c>
    </row>
    <row r="7" ht="52.8" customHeight="1" s="21">
      <c r="A7" s="10" t="n">
        <v>2</v>
      </c>
      <c r="B7" s="11" t="inlineStr">
        <is>
          <t>vector</t>
        </is>
      </c>
      <c r="C7" s="11" t="inlineStr">
        <is>
          <t>How many pieces of direct mail does Kroger send to its customers each quarter, and how are the coupons chosen?</t>
        </is>
      </c>
      <c r="D7" s="11" t="inlineStr">
        <is>
          <t>Kroger sends **over 11 million pieces of direct mail** to its customers each quarter [2].
The coupons are **tailored to each household** based on **several years of shopping data** collected through Kroger’s **customer loyalty card program** [2]. This allows Kroger to better match coupon offers to individual shopper interests [1].</t>
        </is>
      </c>
      <c r="E7" s="19">
        <f>IF('Per Question'!N7="","",'Per Question'!N7)</f>
        <v/>
      </c>
    </row>
    <row r="8" ht="66" customHeight="1" s="21">
      <c r="A8" s="10" t="n">
        <v>2</v>
      </c>
      <c r="B8" s="11" t="inlineStr">
        <is>
          <t>hybrid</t>
        </is>
      </c>
      <c r="C8" s="11" t="inlineStr">
        <is>
          <t>How many pieces of direct mail does Kroger send to its customers each quarter, and how are the coupons chosen?</t>
        </is>
      </c>
      <c r="D8" s="11" t="inlineStr">
        <is>
          <t>Kroger sends **over 11 million pieces of direct mail** to its customers each quarter [1].
The coupons are chosen by **tailoring 12 coupons in each mailer to each household**, based on **several years of shopping data collected through Kroger’s customer loyalty card program** [1]. Kroger uses this data to analyze consumer behavior at the individual household level and better match coupon offers to shopper interests [2].</t>
        </is>
      </c>
      <c r="E8" s="19">
        <f>IF('Per Question'!N8="","",'Per Question'!N8)</f>
        <v/>
      </c>
    </row>
    <row r="9" ht="66" customHeight="1" s="21">
      <c r="A9" s="10" t="n">
        <v>2</v>
      </c>
      <c r="B9" s="11" t="inlineStr">
        <is>
          <t>hybrid_semantic</t>
        </is>
      </c>
      <c r="C9" s="11" t="inlineStr">
        <is>
          <t>How many pieces of direct mail does Kroger send to its customers each quarter, and how are the coupons chosen?</t>
        </is>
      </c>
      <c r="D9" s="11" t="inlineStr">
        <is>
          <t>Kroger sends **over 11 million pieces of direct mail** to its customers each quarter [1].
The coupons are chosen by **tailoring 12 coupons in each mailer to each household**, based on **several years of shopping data collected through Kroger’s customer loyalty card program** [1]. Kroger uses this data to analyze consumer behavior at the individual household level and better match coupon offers to shopper interests [2].</t>
        </is>
      </c>
      <c r="E9" s="19">
        <f>IF('Per Question'!N9="","",'Per Question'!N9)</f>
        <v/>
      </c>
    </row>
    <row r="10" ht="171.6" customHeight="1" s="21">
      <c r="A10" s="10" t="n">
        <v>3</v>
      </c>
      <c r="B10" s="11" t="inlineStr">
        <is>
          <t>keyword</t>
        </is>
      </c>
      <c r="C10" s="11" t="inlineStr">
        <is>
          <t>What share of data science initiatives end up not succeeding, and what typically goes wrong?</t>
        </is>
      </c>
      <c r="D10" s="11" t="inlineStr">
        <is>
          <t>The provided sources do **not** state what share of data science initiatives end up not succeeding, nor do they explain what typically goes wrong.
What the sources do cover:
- Random experiments, outcomes, and probability examples [1].
- An airline performance data problem involving on-time arrivals, mishandled baggage, and customer complaints [2].
- Challenges in calculating ROI for analytics investments, such as identifying actual costs/benefits and separating shared infrastructure costs from project-specific costs [3].
- Key analytics trends, including automation/AutoML, regulation and governance, bias/ethics, and model management across the ML life cycle [4].
- A general description of business analytics as prediction/prescription, analytical modeling, and decision support, with examples in healthcare and decision analytics [5].</t>
        </is>
      </c>
      <c r="E10" s="19">
        <f>IF('Per Question'!N10="","",'Per Question'!N10)</f>
        <v/>
      </c>
    </row>
    <row r="11" ht="118.8" customHeight="1" s="21">
      <c r="A11" s="10" t="n">
        <v>3</v>
      </c>
      <c r="B11" s="11" t="inlineStr">
        <is>
          <t>vector</t>
        </is>
      </c>
      <c r="C11" s="11" t="inlineStr">
        <is>
          <t>What share of data science initiatives end up not succeeding, and what typically goes wrong?</t>
        </is>
      </c>
      <c r="D11" s="11" t="inlineStr">
        <is>
          <t>- **Share not succeeding:** The sources state that the failure rate for analytics projects is **over 80%** [1].
- **What typically goes wrong:** Common analytics project pitfalls include:
  - **Data issues** [1]
  - **Solving the wrong problem** [1]
  - **Making the model too complex** [1]
  - **Treating deployment as the last step instead of planning proactively** [1]
  - **Forgetting ethics** [1]
  - **Overlooking culture** [1]</t>
        </is>
      </c>
      <c r="E11" s="19">
        <f>IF('Per Question'!N11="","",'Per Question'!N11)</f>
        <v/>
      </c>
    </row>
    <row r="12" ht="132" customHeight="1" s="21">
      <c r="A12" s="10" t="n">
        <v>3</v>
      </c>
      <c r="B12" s="11" t="inlineStr">
        <is>
          <t>hybrid</t>
        </is>
      </c>
      <c r="C12" s="11" t="inlineStr">
        <is>
          <t>What share of data science initiatives end up not succeeding, and what typically goes wrong?</t>
        </is>
      </c>
      <c r="D12" s="11" t="inlineStr">
        <is>
          <t>The sources report that the failure rate for analytics projects is **over 80%** [4].
Common reasons they go wrong include:
- **Data issues** [4]
- **Solving the wrong problem** [4]
- **Making the model too complex** [4]
- **Treating deployment as the last step instead of planning proactively** [4]
- **Forgetting ethics** [4]
- **Overlooking culture** [4]</t>
        </is>
      </c>
      <c r="E12" s="19">
        <f>IF('Per Question'!N12="","",'Per Question'!N12)</f>
        <v/>
      </c>
    </row>
    <row r="13" ht="118.8" customHeight="1" s="21">
      <c r="A13" s="10" t="n">
        <v>3</v>
      </c>
      <c r="B13" s="11" t="inlineStr">
        <is>
          <t>hybrid_semantic</t>
        </is>
      </c>
      <c r="C13" s="11" t="inlineStr">
        <is>
          <t>What share of data science initiatives end up not succeeding, and what typically goes wrong?</t>
        </is>
      </c>
      <c r="D13" s="11" t="inlineStr">
        <is>
          <t>The sources say that **over 80% of analytics projects fail** [3]. They do not use the exact phrase “data science initiatives,” but they list common failure causes as:
- **Data issues** [3]
- **Solving the wrong problem** [3]
- **Models that are too complex**, rather than simple and explainable [3]
- **Treating deployment as the last step** instead of planning proactively [3]
- **Forgetting ethics** [3]
- **Overlooking culture** [3]</t>
        </is>
      </c>
      <c r="E13" s="19">
        <f>IF('Per Question'!N13="","",'Per Question'!N13)</f>
        <v/>
      </c>
    </row>
    <row r="14" ht="79.2" customHeight="1" s="21">
      <c r="A14" s="10" t="n">
        <v>4</v>
      </c>
      <c r="B14" s="11" t="inlineStr">
        <is>
          <t>keyword</t>
        </is>
      </c>
      <c r="C14" s="11" t="inlineStr">
        <is>
          <t>What is the data-ink ratio?</t>
        </is>
      </c>
      <c r="D14" s="11" t="inlineStr">
        <is>
          <t>The **data-ink ratio** is the proportion of ink in a table or chart that is **necessary to convey the data or information** to the audience, compared with the **total amount of ink used** [1][2].
- **Data-ink** is the ink needed to communicate the meaning of the data [1].
- **Non-data-ink** is ink that does not helpfully convey the data and therefore reduces the data-ink ratio [1][2].
- The concept was first described by Edward R. Tufte in 2001 [1].</t>
        </is>
      </c>
      <c r="E14" s="19">
        <f>IF('Per Question'!N14="","",'Per Question'!N14)</f>
        <v/>
      </c>
    </row>
    <row r="15" ht="105.6" customHeight="1" s="21">
      <c r="A15" s="10" t="n">
        <v>4</v>
      </c>
      <c r="B15" s="11" t="inlineStr">
        <is>
          <t>vector</t>
        </is>
      </c>
      <c r="C15" s="11" t="inlineStr">
        <is>
          <t>What is the data-ink ratio?</t>
        </is>
      </c>
      <c r="D15" s="11" t="inlineStr">
        <is>
          <t>The **data-ink ratio** is the proportion of ink in a table or chart that is **necessary to convey the data or information** to the audience, compared with the **total amount of ink used** in the table or chart [2][3].
- **Data-ink** is the ink needed to communicate the meaning of the data [2].
- **Non-data-ink** is ink that does not helpfully convey the data [2].
- A higher data-ink ratio means a larger share of the visual elements are actually carrying information [3][5].
- For example, removing unnecessary gridlines or lines can increase the data-ink ratio because more of the remaining ink is used to show the actual data [5].</t>
        </is>
      </c>
      <c r="E15" s="19">
        <f>IF('Per Question'!N15="","",'Per Question'!N15)</f>
        <v/>
      </c>
    </row>
    <row r="16" ht="92.40000000000001" customHeight="1" s="21">
      <c r="A16" s="10" t="n">
        <v>4</v>
      </c>
      <c r="B16" s="11" t="inlineStr">
        <is>
          <t>hybrid</t>
        </is>
      </c>
      <c r="C16" s="11" t="inlineStr">
        <is>
          <t>What is the data-ink ratio?</t>
        </is>
      </c>
      <c r="D16" s="11" t="inlineStr">
        <is>
          <t>The **data-ink ratio** is the proportion of ink in a table or chart that is **necessary to convey the data or information** to the audience, compared with the **total amount of ink used** [1][2].
- **Data-ink** is the ink needed to communicate the meaning of the data [1].
- **Non-data-ink** is ink that does not helpfully convey the data to the audience [1].
- Ink that is not necessary to convey information **reduces the data-ink ratio** [2].
- The idea was first described by **Edward R. Tufte** in 2001 in *The Visual Display of Quantitative Information* [1].</t>
        </is>
      </c>
      <c r="E16" s="19">
        <f>IF('Per Question'!N16="","",'Per Question'!N16)</f>
        <v/>
      </c>
    </row>
    <row r="17" ht="79.2" customHeight="1" s="21">
      <c r="A17" s="10" t="n">
        <v>4</v>
      </c>
      <c r="B17" s="11" t="inlineStr">
        <is>
          <t>hybrid_semantic</t>
        </is>
      </c>
      <c r="C17" s="11" t="inlineStr">
        <is>
          <t>What is the data-ink ratio?</t>
        </is>
      </c>
      <c r="D17" s="11" t="inlineStr">
        <is>
          <t>The **data-ink ratio** is the proportion of ink in a table or chart that is **necessary to convey the data or information** to the audience, compared with the **total amount of ink used** [1][2].
- **Data-ink** is ink needed to communicate the meaning of the data [1].
- **Non-data-ink** is ink that does not helpfully convey the data and therefore reduces the data-ink ratio [1][2].
- The idea was first described by **Edward R. Tufte** in 2001 [1].</t>
        </is>
      </c>
      <c r="E17" s="19">
        <f>IF('Per Question'!N17="","",'Per Question'!N17)</f>
        <v/>
      </c>
    </row>
    <row r="18" ht="277.2" customHeight="1" s="21">
      <c r="A18" s="10" t="n">
        <v>5</v>
      </c>
      <c r="B18" s="11" t="inlineStr">
        <is>
          <t>keyword</t>
        </is>
      </c>
      <c r="C18" s="11" t="inlineStr">
        <is>
          <t>How is business analytics different from business intelligence, and what do descriptive, predictive, and prescriptive analytics each do?</t>
        </is>
      </c>
      <c r="D18" s="11" t="inlineStr">
        <is>
          <t>## Business analytics vs. business intelligence
- **Business intelligence** traditionally focuses on using a consistent set of metrics to measure past performance and guide business planning, and it is described as focusing on **description** [4].
- Business intelligence is characterized as **querying, reporting, online analytical processing (OLAP), and “alerts”** [1].
- These BI tools can answer questions such as **what happened, how many, how often, where the problem is, and what actions are needed** [1].
- **Business analytics**, by contrast, focuses on **prediction and prescription** [4][1].
- Business analytics refers to the skills, technologies, and practices for **iterative exploration and investigation of past business performance** to gain insight and drive business planning [4].
- It focuses on developing new insights and understanding of business performance based on **data and statistical methods** [4].
- It makes extensive use of **analytical modeling and numerical analysis**, including **explanatory and predictive modeling** [1][4].
- Business analytics can answer questions such as **why this is happening, what if these trends continue, what will happen next, and what is the best outcome that can happen** [1].
## Descriptive, predictive, and prescriptive analytics
- **Descriptive analytics**: gains insight from historical data using methods such as **reporting, scorecards, and clustering** [2].
- **Predictive analytics**: employs **predictive modeling** using **statistical and machine learning techniques** [2].
- **Prescriptive analytics**: recommends decisions using methods such as **optimization and simulation** [2].</t>
        </is>
      </c>
      <c r="E18" s="19">
        <f>IF('Per Question'!N18="","",'Per Question'!N18)</f>
        <v/>
      </c>
    </row>
    <row r="19" ht="277.2" customHeight="1" s="21">
      <c r="A19" s="10" t="n">
        <v>5</v>
      </c>
      <c r="B19" s="11" t="inlineStr">
        <is>
          <t>vector</t>
        </is>
      </c>
      <c r="C19" s="11" t="inlineStr">
        <is>
          <t>How is business analytics different from business intelligence, and what do descriptive, predictive, and prescriptive analytics each do?</t>
        </is>
      </c>
      <c r="D19" s="11" t="inlineStr">
        <is>
          <t>## Business analytics vs. business intelligence
- **Business analytics (BA)** is about using skills, technologies, and practices to iteratively explore and investigate past business performance in order to gain insight and drive business planning [1]. It relies on data, statistical methods, analytical modeling, numerical analysis, explanatory and predictive modeling, and fact-based management to support decision making [1][3].
- **Business intelligence (BI)** traditionally uses a consistent set of metrics to measure past performance and guide business planning [1]. BI is associated with querying, reporting, online analytical processing (OLAP), and alerts [3].
- In short, **BI focuses on description**, while **business analytics focuses on prediction and prescription** [1].
- BI tools can answer questions such as **what happened, how many, how often, where the problem is, and what actions are needed** [3].
- Business analytics can answer questions such as **why this is happening, what if trends continue, what will happen next, and what is the best outcome** [3].
## Descriptive, predictive, and prescriptive analytics
- **Descriptive analytics** describes **what has happened in the past**. Examples include data queries, reports, descriptive statistics, data visualization such as dashboards, some data-mining techniques, and basic what-if spreadsheet models [5].
- **Predictive analytics** is part of business analytics’ focus on **prediction**; it uses predictive modeling and statistical methods to help determine **what will happen next** [1][3].
- **Prescriptive analytics** is part of business analytics’ focus on **prescription**; it is associated with optimization and identifying the **best outcome or course of action** [1][3][5].</t>
        </is>
      </c>
      <c r="E19" s="19">
        <f>IF('Per Question'!N19="","",'Per Question'!N19)</f>
        <v/>
      </c>
    </row>
    <row r="20" ht="343.2" customHeight="1" s="21">
      <c r="A20" s="10" t="n">
        <v>5</v>
      </c>
      <c r="B20" s="11" t="inlineStr">
        <is>
          <t>hybrid</t>
        </is>
      </c>
      <c r="C20" s="11" t="inlineStr">
        <is>
          <t>How is business analytics different from business intelligence, and what do descriptive, predictive, and prescriptive analytics each do?</t>
        </is>
      </c>
      <c r="D20" s="11" t="inlineStr">
        <is>
          <t>## Business analytics vs. business intelligence
- **Business intelligence (BI)** traditionally focuses on using a consistent set of metrics to measure past performance and guide business planning [2].
- BI is described as **querying, reporting, online analytical processing (OLAP), and alerts** [1].
- These BI tools can answer questions such as **what happened, how many, how often, where the problem is, and what actions are needed** [1].
- In contrast, **business analytics (BA)** focuses on **prediction and prescription** [1][2].
- BA involves iterative exploration and investigation of past business performance to gain insight and drive business planning [2].
- BA uses data and statistical methods, including analytical modeling, numerical analysis, explanatory modeling, and predictive modeling [1][2].
- BA can answer questions such as **why this is happening, what if trends continue, what will happen next, and what is the best possible outcome** [1].
## Descriptive, predictive, and prescriptive analytics
- **Descriptive analytics** describes **what has happened in the past** [4].
  - It gains insight from historical data using tools such as **reporting, scorecards, and clustering** [5].
  - Examples include **data queries, reports, descriptive statistics, data visualization/dashboards, some data-mining techniques, and basic what-if spreadsheet models** [4].
- **Predictive analytics** uses **predictive modeling** with **statistical and machine learning techniques** [5].
  - It is used to answer questions such as **what will happen next** [1].
- **Prescriptive analytics** **recommends decisions** using methods such as **optimization and simulation** [5].
  - It is associated with identifying **the best outcome that can happen** [1].</t>
        </is>
      </c>
      <c r="E20" s="19">
        <f>IF('Per Question'!N20="","",'Per Question'!N20)</f>
        <v/>
      </c>
    </row>
    <row r="21" ht="369.6" customHeight="1" s="21">
      <c r="A21" s="10" t="n">
        <v>5</v>
      </c>
      <c r="B21" s="11" t="inlineStr">
        <is>
          <t>hybrid_semantic</t>
        </is>
      </c>
      <c r="C21" s="11" t="inlineStr">
        <is>
          <t>How is business analytics different from business intelligence, and what do descriptive, predictive, and prescriptive analytics each do?</t>
        </is>
      </c>
      <c r="D21" s="11" t="inlineStr">
        <is>
          <t>## Business analytics vs. business intelligence
- **Business analytics** is described as the skills, technologies, and practices used to iteratively explore and investigate past business performance in order to gain insight and drive business planning [2].
- It focuses on developing new insights and understanding of business performance using **data and statistical methods** [2].
- **Business intelligence**, by contrast, traditionally focuses on using a consistent set of metrics to measure past performance and guide business planning [2].
- In short, **business intelligence focuses on description**, while **business analytics focuses on prediction and prescription** [2].
## The three categories of analytics
### Descriptive analytics
- **Descriptive analytics describes what has happened** [1][4][5].
- It includes tools such as **reports, data visualization, data dashboards, descriptive statistics, and some data-mining techniques** [1][5].
- It can also include basic what-if spreadsheet models [5].
### Predictive analytics
- **Predictive analytics uses past data to predict future events** or to ascertain the impact of one variable on another [1].
- Techniques include **regression, data mining, forecasting, and simulation** [1].
- Predictive models provide a **forecast or prediction**, but they do not by themselves provide a decision [3].
### Prescriptive analytics
- **Prescriptive analytics uses data to determine a course of action** [1][3].
- Unlike predictive analytics, the output of a prescriptive model is a **decision** [3].
- It includes methods such as **rule-based models, simulation, decision analysis, and optimization** [1].
- A predictive model can become prescriptive when combined with a rule; for example, a model that predicts loan default probability can become prescriptive if a rule says not to award a loan when the predicted probability exceeds a threshold [3].</t>
        </is>
      </c>
      <c r="E21" s="19">
        <f>IF('Per Question'!N21="","",'Per Question'!N21)</f>
        <v/>
      </c>
    </row>
    <row r="22" ht="52.8" customHeight="1" s="21">
      <c r="A22" s="10" t="n">
        <v>6</v>
      </c>
      <c r="B22" s="11" t="inlineStr">
        <is>
          <t>keyword</t>
        </is>
      </c>
      <c r="C22" s="11" t="inlineStr">
        <is>
          <t>Who were early pioneers of using analytics in business, long before computers?</t>
        </is>
      </c>
      <c r="D22" s="11" t="inlineStr">
        <is>
          <t>Early pioneers of using analytics in business, before computers, include:
- **Frederick Winslow Taylor**, who put management exercises into place in the late 19th century [1][2].
- **Henry Ford**, who measured the time of each component in his assembly line [1].</t>
        </is>
      </c>
      <c r="E22" s="19">
        <f>IF('Per Question'!N22="","",'Per Question'!N22)</f>
        <v/>
      </c>
    </row>
    <row r="23" ht="52.8" customHeight="1" s="21">
      <c r="A23" s="10" t="n">
        <v>6</v>
      </c>
      <c r="B23" s="11" t="inlineStr">
        <is>
          <t>vector</t>
        </is>
      </c>
      <c r="C23" s="11" t="inlineStr">
        <is>
          <t>Who were early pioneers of using analytics in business, long before computers?</t>
        </is>
      </c>
      <c r="D23" s="11" t="inlineStr">
        <is>
          <t>Early pioneers included:
- **Frederick Winslow Taylor**, who put management exercises in place in the late 19th century [1].
- **Henry Ford**, who measured the time of each component on his assembly line [1].</t>
        </is>
      </c>
      <c r="E23" s="19">
        <f>IF('Per Question'!N23="","",'Per Question'!N23)</f>
        <v/>
      </c>
    </row>
    <row r="24" ht="52.8" customHeight="1" s="21">
      <c r="A24" s="10" t="n">
        <v>6</v>
      </c>
      <c r="B24" s="11" t="inlineStr">
        <is>
          <t>hybrid</t>
        </is>
      </c>
      <c r="C24" s="11" t="inlineStr">
        <is>
          <t>Who were early pioneers of using analytics in business, long before computers?</t>
        </is>
      </c>
      <c r="D24" s="11" t="inlineStr">
        <is>
          <t>Early pioneers of using analytics in business included:
- **Frederick Winslow Taylor**, who put management exercises in place in the **late 19th century** [1][3].
- **Henry Ford**, who **measured the time of each component** in his newly established assembly line [1].</t>
        </is>
      </c>
      <c r="E24" s="19">
        <f>IF('Per Question'!N24="","",'Per Question'!N24)</f>
        <v/>
      </c>
    </row>
    <row r="25" ht="79.2" customHeight="1" s="21">
      <c r="A25" s="10" t="n">
        <v>6</v>
      </c>
      <c r="B25" s="11" t="inlineStr">
        <is>
          <t>hybrid_semantic</t>
        </is>
      </c>
      <c r="C25" s="11" t="inlineStr">
        <is>
          <t>Who were early pioneers of using analytics in business, long before computers?</t>
        </is>
      </c>
      <c r="D25" s="11" t="inlineStr">
        <is>
          <t>Early pioneers of using analytics in business, before computers became central, include:
- **Frederick Winslow Taylor**, who put management exercises into place in the late 19th century [1][2].
- **Henry Ford**, who measured the time of each component in his assembly line [1].
These early efforts predate the later rise of computer-based decision support systems in the late 1960s [1].</t>
        </is>
      </c>
      <c r="E25" s="19">
        <f>IF('Per Question'!N25="","",'Per Question'!N25)</f>
        <v/>
      </c>
    </row>
    <row r="26" ht="132" customHeight="1" s="21">
      <c r="A26" s="10" t="n">
        <v>7</v>
      </c>
      <c r="B26" s="11" t="inlineStr">
        <is>
          <t>keyword</t>
        </is>
      </c>
      <c r="C26" s="11" t="inlineStr">
        <is>
          <t>What qualities should data have before you trust it for decision making?</t>
        </is>
      </c>
      <c r="D26" s="11" t="inlineStr">
        <is>
          <t>The sources do not give a detailed checklist of data qualities, but they indicate that data should be:
- **High-quality** — business analytics depends on “high-quality data” [4].
- **Available in sufficient volume** — analytics also depends on “sufficient volumes” of data [4].
- **Integrated and reconciled across systems** — a key data-quality challenge is “integrating and reconciling data across different systems” [4].
- **Appropriately scoped** — another challenge is “deciding what subsets of data to make available” [4].
In short, before trusting data for decision making, the sources suggest it should be **high-quality, sufficiently voluminous, properly integrated, and appropriately selected** [4].</t>
        </is>
      </c>
      <c r="E26" s="19">
        <f>IF('Per Question'!N26="","",'Per Question'!N26)</f>
        <v/>
      </c>
    </row>
    <row r="27" ht="158.4" customHeight="1" s="21">
      <c r="A27" s="10" t="n">
        <v>7</v>
      </c>
      <c r="B27" s="11" t="inlineStr">
        <is>
          <t>vector</t>
        </is>
      </c>
      <c r="C27" s="11" t="inlineStr">
        <is>
          <t>What qualities should data have before you trust it for decision making?</t>
        </is>
      </c>
      <c r="D27" s="11" t="inlineStr">
        <is>
          <t>Before trusting data for decision making, the sources say it should have these data-quality qualities:
- **Correct**
- **Complete**
- **Current**
- **Consistent**
- **In the context**
- **Controlled**
- **Safe, secure, private, and auditable**
These are listed as data quality issues to consider in analytics [1]. Human judgement is also still needed to ensure data-driven decision making [2].</t>
        </is>
      </c>
      <c r="E27" s="19">
        <f>IF('Per Question'!N27="","",'Per Question'!N27)</f>
        <v/>
      </c>
    </row>
    <row r="28" ht="198" customHeight="1" s="21">
      <c r="A28" s="10" t="n">
        <v>7</v>
      </c>
      <c r="B28" s="11" t="inlineStr">
        <is>
          <t>hybrid</t>
        </is>
      </c>
      <c r="C28" s="11" t="inlineStr">
        <is>
          <t>What qualities should data have before you trust it for decision making?</t>
        </is>
      </c>
      <c r="D28" s="11" t="inlineStr">
        <is>
          <t>The sources do not give a single explicit “trust” checklist, but they point to several qualities that make data suitable for decision making [1][2][4][5].
- **Relevant**: Data should be relevant to the decision, because relevant data can help managers make more informed decisions [1].
- **Reliable**: Data from a reliable existing source is desirable, especially when data must be obtained in a relatively short period of time [2].
- **High quality and sufficient in volume**: Business analytics depends on sufficient volumes of high-quality data [5].
- **Integrated and reconciled**: A major difficulty in ensuring data quality is integrating and reconciling data across different systems [5].
- **Appropriately scoped**: After integration, the decision maker must decide what subsets of data to make available [5].
- **Current/real-time when needed**: Real-time capture and analysis are important for decisions that require current data, such as managing stock portfolios [4].
- **Cost-effective**: The cost of acquiring data and performing statistical analysis should not exceed the savings generated by using the information to make a better decision [2].</t>
        </is>
      </c>
      <c r="E28" s="19">
        <f>IF('Per Question'!N28="","",'Per Question'!N28)</f>
        <v/>
      </c>
    </row>
    <row r="29" ht="118.8" customHeight="1" s="21">
      <c r="A29" s="10" t="n">
        <v>7</v>
      </c>
      <c r="B29" s="11" t="inlineStr">
        <is>
          <t>hybrid_semantic</t>
        </is>
      </c>
      <c r="C29" s="11" t="inlineStr">
        <is>
          <t>What qualities should data have before you trust it for decision making?</t>
        </is>
      </c>
      <c r="D29" s="11" t="inlineStr">
        <is>
          <t>The sources do **not** give an explicit checklist of data-quality criteria. The closest guidance is that data should be:
- **From a reliable existing source** when important data are needed [2][3].
- **Readily available** if the decision must be made in a short time [2][3].
- **Useful for the decision**, meaning the decision maker should consider the potential contribution of the statistical analysis [2].
- **Cost-effective**, because the cost of obtaining and analyzing the data should not exceed the savings from making a better decision [2].
- **Aware of time and cost** required to obtain the data [3].
- **Fact-based or data-driven**, consistent with business analytics being used for fact-based decision making [1][4].</t>
        </is>
      </c>
      <c r="E29" s="19">
        <f>IF('Per Question'!N29="","",'Per Question'!N29)</f>
        <v/>
      </c>
    </row>
    <row r="30" ht="92.40000000000001" customHeight="1" s="21">
      <c r="A30" s="10" t="n">
        <v>8</v>
      </c>
      <c r="B30" s="11" t="inlineStr">
        <is>
          <t>keyword</t>
        </is>
      </c>
      <c r="C30" s="11" t="inlineStr">
        <is>
          <t>What was Amazon's total revenue in 2023?</t>
        </is>
      </c>
      <c r="D30" s="11" t="inlineStr">
        <is>
          <t>The provided sources do not contain Amazon’s total revenue in 2023.
They cover related but different topics, including:
- Amazon using customer purchase and browsing data to make product recommendations [1][4]
- Airlines using revenue management to set ticket prices [1]
- Examples of analytics applications in finance and business [3]
- Table and data-visualization examples for costs and revenues [2][5]</t>
        </is>
      </c>
      <c r="E30" s="19">
        <f>IF('Per Question'!N30="","",'Per Question'!N30)</f>
        <v/>
      </c>
    </row>
    <row r="31" ht="79.2" customHeight="1" s="21">
      <c r="A31" s="10" t="n">
        <v>8</v>
      </c>
      <c r="B31" s="11" t="inlineStr">
        <is>
          <t>vector</t>
        </is>
      </c>
      <c r="C31" s="11" t="inlineStr">
        <is>
          <t>What was Amazon's total revenue in 2023?</t>
        </is>
      </c>
      <c r="D31" s="11" t="inlineStr">
        <is>
          <t>The provided sources [1][2][3][4][5] do not contain Amazon’s total revenue in 2023.
They cover:
- GDP values for several countries over multiple years [2]
- Monthly revenue data for Tedstar, Inc. [1][2]
- Monthly revenues, costs, and profits by location [3][4][5]</t>
        </is>
      </c>
      <c r="E31" s="19">
        <f>IF('Per Question'!N31="","",'Per Question'!N31)</f>
        <v/>
      </c>
    </row>
    <row r="32" ht="66" customHeight="1" s="21">
      <c r="A32" s="10" t="n">
        <v>8</v>
      </c>
      <c r="B32" s="11" t="inlineStr">
        <is>
          <t>hybrid</t>
        </is>
      </c>
      <c r="C32" s="11" t="inlineStr">
        <is>
          <t>What was Amazon's total revenue in 2023?</t>
        </is>
      </c>
      <c r="D32" s="11" t="inlineStr">
        <is>
          <t>The provided sources do **not** state Amazon’s total revenue in 2023.
- Amazon is mentioned only in the context of using customer purchase data to make product recommendations [1][2].
- One source lists Amazon among top global companies by market value, but it does not provide revenue figures [5].
- The other sources cover unrelated revenue or GDP data, such as monthly revenues by location and country GDP values [3][4].</t>
        </is>
      </c>
      <c r="E32" s="19">
        <f>IF('Per Question'!N32="","",'Per Question'!N32)</f>
        <v/>
      </c>
    </row>
    <row r="33" ht="79.2" customHeight="1" s="21">
      <c r="A33" s="10" t="n">
        <v>8</v>
      </c>
      <c r="B33" s="11" t="inlineStr">
        <is>
          <t>hybrid_semantic</t>
        </is>
      </c>
      <c r="C33" s="11" t="inlineStr">
        <is>
          <t>What was Amazon's total revenue in 2023?</t>
        </is>
      </c>
      <c r="D33" s="11" t="inlineStr">
        <is>
          <t>The provided sources do not contain Amazon’s total revenue in 2023.
What the sources do cover:
- Amazon appears in a list of top global companies by market value, but no revenue figures are given [1].
- Amazon.com is mentioned as an organization that has embraced analytics [3].
- The other sources include sample revenue/cost tables for “Gossamer Industries,” not Amazon [2][4][5].</t>
        </is>
      </c>
      <c r="E33" s="19">
        <f>IF('Per Question'!N33="","",'Per Question'!N33)</f>
        <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2026-10-15T00:54:54Z</dcterms:created>
  <dcterms:modified xmlns:dcterms="http://purl.org/dc/terms/" xmlns:xsi="http://www.w3.org/2001/XMLSchema-instance" xsi:type="dcterms:W3CDTF">2026-10-15T01:50:55Z</dcterms:modified>
  <cp:lastModifiedBy>Toby Wong</cp:lastModifiedBy>
</cp:coreProperties>
</file>